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NUM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BRANDS" sheetId="4" state="visible" r:id="rId4"/>
    <sheet xmlns:r="http://schemas.openxmlformats.org/officeDocument/2006/relationships" name="GEAR_SETS" sheetId="5" state="visible" r:id="rId5"/>
    <sheet xmlns:r="http://schemas.openxmlformats.org/officeDocument/2006/relationships" name="TALENTS" sheetId="6" state="visible" r:id="rId6"/>
    <sheet xmlns:r="http://schemas.openxmlformats.org/officeDocument/2006/relationships" name="ATTRIBUTES" sheetId="7" state="visible" r:id="rId7"/>
    <sheet xmlns:r="http://schemas.openxmlformats.org/officeDocument/2006/relationships" name="ITEMS_GEAR" sheetId="8" state="visible" r:id="rId8"/>
    <sheet xmlns:r="http://schemas.openxmlformats.org/officeDocument/2006/relationships" name="ITEM_ATTR_RULES" sheetId="9" state="visible" r:id="rId9"/>
    <sheet xmlns:r="http://schemas.openxmlformats.org/officeDocument/2006/relationships" name="WEAPONS" sheetId="10" state="visible" r:id="rId10"/>
    <sheet xmlns:r="http://schemas.openxmlformats.org/officeDocument/2006/relationships" name="BUILD" sheetId="11" state="visible" r:id="rId11"/>
    <sheet xmlns:r="http://schemas.openxmlformats.org/officeDocument/2006/relationships" name="TARGET_LOOT_LOG" sheetId="12" state="visible" r:id="rId12"/>
  </sheets>
  <definedNames>
    <definedName name="SlotList">ENUMS!$A$2:$A$7</definedName>
    <definedName name="ItemTypeList">ENUMS!$B$2:$B$4</definedName>
    <definedName name="RarityList">ENUMS!$C$2:$C$5</definedName>
    <definedName name="CoreColorList">ENUMS!$D$2:$D$4</definedName>
    <definedName name="AttributeCategoryList">ENUMS!$E$2:$E$4</definedName>
    <definedName name="TalentTypeList">ENUMS!$F$2:$F$5</definedName>
    <definedName name="WeaponClassList">ENUMS!$G$2:$G$8</definedName>
    <definedName name="UnitList">ENUMS!$H$2:$H$3</definedName>
    <definedName name="BoolList">ENUMS!$I$2:$I$3</definedName>
    <definedName name="SourceTypeList">ENUMS!$J$2:$J$6</definedName>
    <definedName name="PatchVersionList">ENUMS!$K$2:$K$13</definedName>
    <definedName name="SourceIdList">SOURCES!$A$2:$A$1000</definedName>
    <definedName name="BrandIdList">BRANDS!$A$2:$A$1000</definedName>
    <definedName name="GearSetIdList">GEAR_SETS!$A$2:$A$1000</definedName>
    <definedName name="TalentIdList">TALENTS!$A$2:$A$1000</definedName>
    <definedName name="AttributeIdList">ATTRIBUTES!$A$2:$A$1000</definedName>
    <definedName name="GearItemIdList">ITEMS_GEAR!$A$2:$A$1000</definedName>
    <definedName name="WeaponIdList">WEAPONS!$A$2:$A$1000</definedName>
    <definedName name="_xlnm._FilterDatabase" localSheetId="2" hidden="1">'SOURCES'!$A$1:$E$1</definedName>
    <definedName name="_xlnm._FilterDatabase" localSheetId="3" hidden="1">'BRANDS'!$A$1:$I$1</definedName>
    <definedName name="_xlnm._FilterDatabase" localSheetId="4" hidden="1">'GEAR_SETS'!$A$1:$I$1</definedName>
    <definedName name="_xlnm._FilterDatabase" localSheetId="5" hidden="1">'TALENTS'!$A$1:$I$1</definedName>
    <definedName name="_xlnm._FilterDatabase" localSheetId="6" hidden="1">'ATTRIBUTES'!$A$1:$H$1</definedName>
    <definedName name="_xlnm._FilterDatabase" localSheetId="7" hidden="1">'ITEMS_GEAR'!$A$1:$Q$1</definedName>
    <definedName name="_xlnm._FilterDatabase" localSheetId="8" hidden="1">'ITEM_ATTR_RULES'!$A$1:$K$1</definedName>
    <definedName name="_xlnm._FilterDatabase" localSheetId="9" hidden="1">'WEAPONS'!$A$1:$O$1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FFFFFF"/>
    </font>
    <font>
      <b val="1"/>
      <color rgb="00FFFFFF"/>
      <sz val="16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E7EEF8"/>
      </patternFill>
    </fill>
    <fill>
      <patternFill patternType="solid">
        <fgColor rgb="001F4E79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DAF8"/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Division 2 — Dataset Template (Build Planner)</t>
        </is>
      </c>
    </row>
    <row r="3">
      <c r="A3" s="2" t="inlineStr">
        <is>
          <t>How to use:</t>
        </is>
      </c>
    </row>
    <row r="4">
      <c r="A4" t="inlineStr">
        <is>
          <t>1) Fill SOURCES first (where your data came from).</t>
        </is>
      </c>
    </row>
    <row r="5">
      <c r="A5" t="inlineStr">
        <is>
          <t>2) Then BRANDS / GEAR_SETS / TALENTS / ATTRIBUTES.</t>
        </is>
      </c>
    </row>
    <row r="6">
      <c r="A6" t="inlineStr">
        <is>
          <t>3) Then ITEMS_GEAR and ITEM_ATTR_RULES. Finally WEAPONS.</t>
        </is>
      </c>
    </row>
    <row r="7">
      <c r="A7" t="inlineStr">
        <is>
          <t>4) Use BUILD to montar seu set (seleciona item_id / weapon_id e ele calcula brand + gear set bônus).</t>
        </is>
      </c>
    </row>
    <row r="8">
      <c r="A8" t="inlineStr">
        <is>
          <t>5) Use TARGET_LOOT_LOG pra anotar o Targeted Loot do dia/rotação (manual).</t>
        </is>
      </c>
    </row>
    <row r="9">
      <c r="A9" t="inlineStr">
        <is>
          <t>URLs:</t>
        </is>
      </c>
    </row>
    <row r="10">
      <c r="A10" t="inlineStr">
        <is>
          <t>• wiki_url / logo_url são opcionais (links de referência). image_url é opcional.</t>
        </is>
      </c>
    </row>
    <row r="11">
      <c r="A11" s="2" t="inlineStr">
        <is>
          <t>Golden rules:</t>
        </is>
      </c>
    </row>
    <row r="12">
      <c r="A12" t="inlineStr">
        <is>
          <t>• Everything has an ID (do NOT relate by name).</t>
        </is>
      </c>
    </row>
    <row r="13">
      <c r="A13" t="inlineStr">
        <is>
          <t>• Track patch_version + last_updated so you know what's stale.</t>
        </is>
      </c>
    </row>
    <row r="14">
      <c r="A14" t="inlineStr">
        <is>
          <t>• Avoid stuffing multiple attributes into one cell—use ITEM_ATTR_RULES.</t>
        </is>
      </c>
    </row>
    <row r="16">
      <c r="A16" s="2" t="inlineStr">
        <is>
          <t>Notes:</t>
        </is>
      </c>
    </row>
    <row r="17">
      <c r="A17" t="inlineStr">
        <is>
          <t>• image_url é opcional. Se você não puder/querer usar ícones, deixa em branco.</t>
        </is>
      </c>
    </row>
    <row r="18">
      <c r="A18" t="inlineStr">
        <is>
          <t>• TU/patch naming é teu. Mantém consistente (TU_19, TU_20, etc.)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EAD3"/>
    <outlinePr summaryBelow="1" summaryRight="1"/>
    <pageSetUpPr/>
  </sheetPr>
  <dimension ref="A1:K5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Slot</t>
        </is>
      </c>
      <c r="B1" s="3" t="inlineStr">
        <is>
          <t>ItemType</t>
        </is>
      </c>
      <c r="C1" s="3" t="inlineStr">
        <is>
          <t>Rarity</t>
        </is>
      </c>
      <c r="D1" s="3" t="inlineStr">
        <is>
          <t>CoreColor</t>
        </is>
      </c>
      <c r="E1" s="3" t="inlineStr">
        <is>
          <t>AttributeCategory</t>
        </is>
      </c>
      <c r="F1" s="3" t="inlineStr">
        <is>
          <t>TalentType</t>
        </is>
      </c>
      <c r="G1" s="3" t="inlineStr">
        <is>
          <t>WeaponClass</t>
        </is>
      </c>
      <c r="H1" s="3" t="inlineStr">
        <is>
          <t>Unit</t>
        </is>
      </c>
      <c r="I1" s="3" t="inlineStr">
        <is>
          <t>Bool</t>
        </is>
      </c>
      <c r="J1" s="3" t="inlineStr">
        <is>
          <t>SourceType</t>
        </is>
      </c>
      <c r="K1" s="3" t="inlineStr">
        <is>
          <t>PatchVersion</t>
        </is>
      </c>
    </row>
    <row r="2">
      <c r="A2" t="inlineStr">
        <is>
          <t>Mask</t>
        </is>
      </c>
      <c r="B2" t="inlineStr">
        <is>
          <t>Gear</t>
        </is>
      </c>
      <c r="C2" t="inlineStr">
        <is>
          <t>HighEnd</t>
        </is>
      </c>
      <c r="D2" t="inlineStr">
        <is>
          <t>Red</t>
        </is>
      </c>
      <c r="E2" t="inlineStr">
        <is>
          <t>Offensive</t>
        </is>
      </c>
      <c r="F2" t="inlineStr">
        <is>
          <t>Weapon</t>
        </is>
      </c>
      <c r="G2" t="inlineStr">
        <is>
          <t>AR</t>
        </is>
      </c>
      <c r="H2" t="inlineStr">
        <is>
          <t>%</t>
        </is>
      </c>
      <c r="I2" t="inlineStr">
        <is>
          <t>TRUE</t>
        </is>
      </c>
      <c r="J2" t="inlineStr">
        <is>
          <t>sheet</t>
        </is>
      </c>
      <c r="K2" t="inlineStr">
        <is>
          <t>CURRENT_2026-02</t>
        </is>
      </c>
    </row>
    <row r="3">
      <c r="A3" t="inlineStr">
        <is>
          <t>Chest</t>
        </is>
      </c>
      <c r="B3" t="inlineStr">
        <is>
          <t>Weapon</t>
        </is>
      </c>
      <c r="C3" t="inlineStr">
        <is>
          <t>Named</t>
        </is>
      </c>
      <c r="D3" t="inlineStr">
        <is>
          <t>Blue</t>
        </is>
      </c>
      <c r="E3" t="inlineStr">
        <is>
          <t>Defensive</t>
        </is>
      </c>
      <c r="F3" t="inlineStr">
        <is>
          <t>Chest</t>
        </is>
      </c>
      <c r="G3" t="inlineStr">
        <is>
          <t>SMG</t>
        </is>
      </c>
      <c r="H3" t="inlineStr">
        <is>
          <t>flat</t>
        </is>
      </c>
      <c r="I3" t="inlineStr">
        <is>
          <t>FALSE</t>
        </is>
      </c>
      <c r="J3" t="inlineStr">
        <is>
          <t>wiki</t>
        </is>
      </c>
      <c r="K3" t="inlineStr">
        <is>
          <t>Y7S3.2</t>
        </is>
      </c>
    </row>
    <row r="4">
      <c r="A4" t="inlineStr">
        <is>
          <t>Backpack</t>
        </is>
      </c>
      <c r="B4" t="inlineStr">
        <is>
          <t>Mod</t>
        </is>
      </c>
      <c r="C4" t="inlineStr">
        <is>
          <t>Exotic</t>
        </is>
      </c>
      <c r="D4" t="inlineStr">
        <is>
          <t>Yellow</t>
        </is>
      </c>
      <c r="E4" t="inlineStr">
        <is>
          <t>Utility</t>
        </is>
      </c>
      <c r="F4" t="inlineStr">
        <is>
          <t>Backpack</t>
        </is>
      </c>
      <c r="G4" t="inlineStr">
        <is>
          <t>LMG</t>
        </is>
      </c>
      <c r="J4" t="inlineStr">
        <is>
          <t>repo</t>
        </is>
      </c>
      <c r="K4" t="inlineStr">
        <is>
          <t>TU24</t>
        </is>
      </c>
    </row>
    <row r="5">
      <c r="A5" t="inlineStr">
        <is>
          <t>Gloves</t>
        </is>
      </c>
      <c r="C5" t="inlineStr">
        <is>
          <t>GearSet</t>
        </is>
      </c>
      <c r="F5" t="inlineStr">
        <is>
          <t>GearSet</t>
        </is>
      </c>
      <c r="G5" t="inlineStr">
        <is>
          <t>Rifle</t>
        </is>
      </c>
      <c r="J5" t="inlineStr">
        <is>
          <t>official</t>
        </is>
      </c>
      <c r="K5" t="inlineStr">
        <is>
          <t>TU23</t>
        </is>
      </c>
    </row>
    <row r="6">
      <c r="A6" t="inlineStr">
        <is>
          <t>Holster</t>
        </is>
      </c>
      <c r="G6" t="inlineStr">
        <is>
          <t>MMR</t>
        </is>
      </c>
      <c r="J6" t="inlineStr">
        <is>
          <t>other</t>
        </is>
      </c>
      <c r="K6" t="inlineStr">
        <is>
          <t>TU22</t>
        </is>
      </c>
    </row>
    <row r="7">
      <c r="A7" t="inlineStr">
        <is>
          <t>Kneepads</t>
        </is>
      </c>
      <c r="G7" t="inlineStr">
        <is>
          <t>Shotgun</t>
        </is>
      </c>
      <c r="K7" t="inlineStr">
        <is>
          <t>TU21</t>
        </is>
      </c>
    </row>
    <row r="8">
      <c r="G8" t="inlineStr">
        <is>
          <t>Pistol</t>
        </is>
      </c>
      <c r="K8" t="inlineStr">
        <is>
          <t>TU20</t>
        </is>
      </c>
    </row>
    <row r="9">
      <c r="K9" t="inlineStr">
        <is>
          <t>TU19</t>
        </is>
      </c>
    </row>
    <row r="10">
      <c r="K10" t="inlineStr">
        <is>
          <t>TU18</t>
        </is>
      </c>
    </row>
    <row r="11">
      <c r="K11" t="inlineStr">
        <is>
          <t>TU17</t>
        </is>
      </c>
    </row>
    <row r="12">
      <c r="K12" t="inlineStr">
        <is>
          <t>TU16</t>
        </is>
      </c>
    </row>
    <row r="13">
      <c r="K13" t="inlineStr">
        <is>
          <t>TU15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F2CC"/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  <col width="40" customWidth="1" min="4" max="4"/>
    <col width="14" customWidth="1" min="5" max="5"/>
  </cols>
  <sheetData>
    <row r="1" ht="28" customHeight="1">
      <c r="A1" s="4" t="inlineStr">
        <is>
          <t>source_id</t>
        </is>
      </c>
      <c r="B1" s="4" t="inlineStr">
        <is>
          <t>type</t>
        </is>
      </c>
      <c r="C1" s="4" t="inlineStr">
        <is>
          <t>reference</t>
        </is>
      </c>
      <c r="D1" s="4" t="inlineStr">
        <is>
          <t>notes</t>
        </is>
      </c>
      <c r="E1" s="4" t="inlineStr">
        <is>
          <t>last_updated</t>
        </is>
      </c>
    </row>
    <row r="2">
      <c r="A2" t="inlineStr">
        <is>
          <t>SRC_0001</t>
        </is>
      </c>
      <c r="B2" t="inlineStr">
        <is>
          <t>wiki</t>
        </is>
      </c>
      <c r="C2" t="inlineStr">
        <is>
          <t>The Division Wiki (Fandom) — Brand Sets page</t>
        </is>
      </c>
      <c r="D2" t="inlineStr">
        <is>
          <t>Brand set bonuses used in starter pack</t>
        </is>
      </c>
      <c r="E2" t="inlineStr">
        <is>
          <t>2026-02-11</t>
        </is>
      </c>
    </row>
    <row r="3">
      <c r="A3" t="inlineStr">
        <is>
          <t>SRC_0002</t>
        </is>
      </c>
      <c r="B3" t="inlineStr">
        <is>
          <t>wiki</t>
        </is>
      </c>
      <c r="C3" t="inlineStr">
        <is>
          <t>The Division Wiki (Fandom) — Gear Sets page</t>
        </is>
      </c>
      <c r="D3" t="inlineStr">
        <is>
          <t>Gear set bonuses used in starter pack</t>
        </is>
      </c>
      <c r="E3" t="inlineStr">
        <is>
          <t>2026-02-11</t>
        </is>
      </c>
    </row>
    <row r="4">
      <c r="A4" t="inlineStr">
        <is>
          <t>SRC_0003</t>
        </is>
      </c>
      <c r="B4" t="inlineStr">
        <is>
          <t>reddit</t>
        </is>
      </c>
      <c r="C4" t="inlineStr">
        <is>
          <t>r/thedivision wiki — Gear Sets guide</t>
        </is>
      </c>
      <c r="D4" t="inlineStr">
        <is>
          <t>Used to cross-check set bonuses &amp; TU references</t>
        </is>
      </c>
      <c r="E4" t="inlineStr">
        <is>
          <t>2026-02-11</t>
        </is>
      </c>
    </row>
    <row r="5">
      <c r="A5" t="inlineStr">
        <is>
          <t>SRC_0004</t>
        </is>
      </c>
      <c r="B5" t="inlineStr">
        <is>
          <t>reddit</t>
        </is>
      </c>
      <c r="C5" t="inlineStr">
        <is>
          <t>r/thedivision — Core/minor attributes post (Gear 2.0)</t>
        </is>
      </c>
      <c r="D5" t="inlineStr">
        <is>
          <t>Used as base attribute list (core + minors)</t>
        </is>
      </c>
      <c r="E5" t="inlineStr">
        <is>
          <t>2026-02-11</t>
        </is>
      </c>
    </row>
    <row r="6">
      <c r="A6" t="inlineStr">
        <is>
          <t>SRC_0005</t>
        </is>
      </c>
      <c r="B6" t="inlineStr">
        <is>
          <t>reddit</t>
        </is>
      </c>
      <c r="C6" t="inlineStr">
        <is>
          <t>https://www.reddit.com/r/thedivision/wiki/thedivision2/guides/equipment/brandset/</t>
        </is>
      </c>
      <c r="D6" t="inlineStr">
        <is>
          <t>Brand set bonuses (cross-check)</t>
        </is>
      </c>
      <c r="E6" t="inlineStr">
        <is>
          <t>2026-02-11</t>
        </is>
      </c>
    </row>
    <row r="7">
      <c r="A7" t="inlineStr">
        <is>
          <t>SRC_0006</t>
        </is>
      </c>
      <c r="B7" t="inlineStr">
        <is>
          <t>wiki</t>
        </is>
      </c>
      <c r="C7" t="inlineStr">
        <is>
          <t>https://thedivision.fandom.com/wiki/Talents/Tom_Clancy%27s_The_Division_2</t>
        </is>
      </c>
      <c r="D7" t="inlineStr">
        <is>
          <t>Talent descriptions (gear talents list)</t>
        </is>
      </c>
      <c r="E7" t="inlineStr">
        <is>
          <t>2026-02-11</t>
        </is>
      </c>
    </row>
    <row r="8">
      <c r="A8" t="inlineStr">
        <is>
          <t>SRC_0007</t>
        </is>
      </c>
      <c r="B8" t="inlineStr">
        <is>
          <t>wiki</t>
        </is>
      </c>
      <c r="C8" t="inlineStr">
        <is>
          <t>https://thedivision.fandom.com/wiki/In_Sync_(Weapon_Talent)</t>
        </is>
      </c>
      <c r="D8" t="inlineStr">
        <is>
          <t>Weapon talent description: In Sync</t>
        </is>
      </c>
      <c r="E8" t="inlineStr">
        <is>
          <t>2026-02-11</t>
        </is>
      </c>
    </row>
    <row r="9">
      <c r="A9" t="inlineStr">
        <is>
          <t>SRC_0008</t>
        </is>
      </c>
      <c r="B9" t="inlineStr">
        <is>
          <t>wiki</t>
        </is>
      </c>
      <c r="C9" t="inlineStr">
        <is>
          <t>https://thedivision.fandom.com/wiki/Flatline_(Weapon_Talent)</t>
        </is>
      </c>
      <c r="D9" t="inlineStr">
        <is>
          <t>Weapon talent description: Flatline</t>
        </is>
      </c>
      <c r="E9" t="inlineStr">
        <is>
          <t>2026-02-11</t>
        </is>
      </c>
    </row>
    <row r="10">
      <c r="A10" t="inlineStr">
        <is>
          <t>SRC_0009</t>
        </is>
      </c>
      <c r="B10" t="inlineStr">
        <is>
          <t>wiki</t>
        </is>
      </c>
      <c r="C10" t="inlineStr">
        <is>
          <t>https://thedivision.fandom.com/wiki/Optimist_(Weapon_Talent)</t>
        </is>
      </c>
      <c r="D10" t="inlineStr">
        <is>
          <t>Weapon talent description: Optimist</t>
        </is>
      </c>
      <c r="E10" t="inlineStr">
        <is>
          <t>2026-02-11</t>
        </is>
      </c>
    </row>
    <row r="11">
      <c r="A11" t="inlineStr">
        <is>
          <t>SRC_0010</t>
        </is>
      </c>
      <c r="B11" t="inlineStr">
        <is>
          <t>wiki</t>
        </is>
      </c>
      <c r="C11" t="inlineStr">
        <is>
          <t>https://thedivision.fandom.com/wiki/Strained_(Weapon_Talent)</t>
        </is>
      </c>
      <c r="D11" t="inlineStr">
        <is>
          <t>Weapon talent description: Strained</t>
        </is>
      </c>
      <c r="E11" t="inlineStr">
        <is>
          <t>2026-02-11</t>
        </is>
      </c>
    </row>
    <row r="12">
      <c r="A12" t="inlineStr">
        <is>
          <t>SRC_0011</t>
        </is>
      </c>
      <c r="B12" t="inlineStr">
        <is>
          <t>wiki</t>
        </is>
      </c>
      <c r="C12" t="inlineStr">
        <is>
          <t>https://thedivision.fandom.com/wiki/Fast_Hands_(Weapon_Talent)</t>
        </is>
      </c>
      <c r="D12" t="inlineStr">
        <is>
          <t>Weapon talent description: Fast Hands</t>
        </is>
      </c>
      <c r="E12" t="inlineStr">
        <is>
          <t>2026-02-11</t>
        </is>
      </c>
    </row>
    <row r="13">
      <c r="A13" t="inlineStr">
        <is>
          <t>SRC_0012</t>
        </is>
      </c>
      <c r="B13" t="inlineStr">
        <is>
          <t>wiki</t>
        </is>
      </c>
      <c r="C13" t="inlineStr">
        <is>
          <t>https://thedivision.fandom.com/wiki/Ranger_(Weapon_Talent)</t>
        </is>
      </c>
      <c r="D13" t="inlineStr">
        <is>
          <t>Weapon talent description: Ranger</t>
        </is>
      </c>
      <c r="E13" t="inlineStr">
        <is>
          <t>2026-02-11</t>
        </is>
      </c>
    </row>
  </sheetData>
  <autoFilter ref="A1:E1"/>
  <dataValidations count="1">
    <dataValidation sqref="B2:B1000" showDropDown="1" showInputMessage="0" showErrorMessage="0" allowBlank="1" type="list">
      <formula1>=SourceTypeList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CE5CD"/>
    <outlinePr summaryBelow="1" summaryRight="1"/>
    <pageSetUpPr/>
  </sheetPr>
  <dimension ref="A1:K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26" customWidth="1" min="5" max="5"/>
    <col width="26" customWidth="1" min="6" max="6"/>
    <col width="26" customWidth="1" min="7" max="7"/>
    <col width="26" customWidth="1" min="8" max="8"/>
    <col width="12" customWidth="1" min="9" max="9"/>
    <col width="14" customWidth="1" min="10" max="10"/>
    <col width="14" customWidth="1" min="11" max="11"/>
  </cols>
  <sheetData>
    <row r="1" ht="28" customHeight="1">
      <c r="A1" s="4" t="inlineStr">
        <is>
          <t>brand_id</t>
        </is>
      </c>
      <c r="B1" s="4" t="inlineStr">
        <is>
          <t>name</t>
        </is>
      </c>
      <c r="C1" s="4" t="inlineStr">
        <is>
          <t>wiki_url</t>
        </is>
      </c>
      <c r="D1" s="4" t="inlineStr">
        <is>
          <t>logo_url</t>
        </is>
      </c>
      <c r="E1" s="4" t="inlineStr">
        <is>
          <t>bonus_1</t>
        </is>
      </c>
      <c r="F1" s="4" t="inlineStr">
        <is>
          <t>bonus_2</t>
        </is>
      </c>
      <c r="G1" s="4" t="inlineStr">
        <is>
          <t>bonus_3</t>
        </is>
      </c>
      <c r="H1" s="4" t="inlineStr">
        <is>
          <t>notes</t>
        </is>
      </c>
      <c r="I1" s="4" t="inlineStr">
        <is>
          <t>source_id</t>
        </is>
      </c>
      <c r="J1" s="4" t="inlineStr">
        <is>
          <t>last_updated</t>
        </is>
      </c>
      <c r="K1" s="4" t="inlineStr">
        <is>
          <t>patch_version</t>
        </is>
      </c>
    </row>
    <row r="2">
      <c r="A2" t="inlineStr">
        <is>
          <t>BRD_0001</t>
        </is>
      </c>
      <c r="B2" t="inlineStr">
        <is>
          <t>Providence Defense</t>
        </is>
      </c>
      <c r="E2" t="inlineStr">
        <is>
          <t>+13% Headshot Damage</t>
        </is>
      </c>
      <c r="F2" t="inlineStr">
        <is>
          <t>+8% Critical Hit Chance</t>
        </is>
      </c>
      <c r="G2" t="inlineStr">
        <is>
          <t>+13% Critical Hit Damage</t>
        </is>
      </c>
      <c r="I2" t="inlineStr">
        <is>
          <t>SRC_0001</t>
        </is>
      </c>
      <c r="J2" t="inlineStr">
        <is>
          <t>2026-02-11</t>
        </is>
      </c>
      <c r="K2" t="inlineStr">
        <is>
          <t>CURRENT_2026-02</t>
        </is>
      </c>
    </row>
    <row r="3">
      <c r="A3" t="inlineStr">
        <is>
          <t>BRD_0002</t>
        </is>
      </c>
      <c r="B3" t="inlineStr">
        <is>
          <t>Fenris Group AB</t>
        </is>
      </c>
      <c r="E3" t="inlineStr">
        <is>
          <t>+10% Assault Rifle Damage</t>
        </is>
      </c>
      <c r="F3" t="inlineStr">
        <is>
          <t>+30% Reload Speed</t>
        </is>
      </c>
      <c r="G3" t="inlineStr">
        <is>
          <t>+50% Stability</t>
        </is>
      </c>
      <c r="I3" t="inlineStr">
        <is>
          <t>SRC_0001</t>
        </is>
      </c>
      <c r="J3" t="inlineStr">
        <is>
          <t>2026-02-11</t>
        </is>
      </c>
      <c r="K3" t="inlineStr">
        <is>
          <t>CURRENT_2026-02</t>
        </is>
      </c>
    </row>
    <row r="4">
      <c r="A4" t="inlineStr">
        <is>
          <t>BRD_0003</t>
        </is>
      </c>
      <c r="B4" t="inlineStr">
        <is>
          <t>Grupo Sombra S.A.</t>
        </is>
      </c>
      <c r="E4" t="inlineStr">
        <is>
          <t>+13% Critical Hit Damage</t>
        </is>
      </c>
      <c r="F4" t="inlineStr">
        <is>
          <t>+20% Explosives Damage</t>
        </is>
      </c>
      <c r="G4" t="inlineStr">
        <is>
          <t>+13% Headshot Damage</t>
        </is>
      </c>
      <c r="I4" t="inlineStr">
        <is>
          <t>SRC_0001</t>
        </is>
      </c>
      <c r="J4" t="inlineStr">
        <is>
          <t>2026-02-11</t>
        </is>
      </c>
      <c r="K4" t="inlineStr">
        <is>
          <t>CURRENT_2026-02</t>
        </is>
      </c>
    </row>
    <row r="5">
      <c r="A5" t="inlineStr">
        <is>
          <t>BRD_0004</t>
        </is>
      </c>
      <c r="B5" t="inlineStr">
        <is>
          <t>Česká Výroba S.R.O.</t>
        </is>
      </c>
      <c r="E5" t="inlineStr">
        <is>
          <t>+8% Critical Hit Chance</t>
        </is>
      </c>
      <c r="F5" t="inlineStr">
        <is>
          <t>+20% Hazard Protection</t>
        </is>
      </c>
      <c r="G5" t="inlineStr">
        <is>
          <t>+90% Health</t>
        </is>
      </c>
      <c r="I5" t="inlineStr">
        <is>
          <t>SRC_0001</t>
        </is>
      </c>
      <c r="J5" t="inlineStr">
        <is>
          <t>2026-02-11</t>
        </is>
      </c>
      <c r="K5" t="inlineStr">
        <is>
          <t>CURRENT_2026-02</t>
        </is>
      </c>
    </row>
    <row r="6">
      <c r="A6" t="inlineStr">
        <is>
          <t>BRD_0005</t>
        </is>
      </c>
      <c r="B6" t="inlineStr">
        <is>
          <t>Sokolov Concern</t>
        </is>
      </c>
      <c r="E6" t="inlineStr">
        <is>
          <t>+10% SMG Damage</t>
        </is>
      </c>
      <c r="F6" t="inlineStr">
        <is>
          <t>+13% Critical Hit Damage</t>
        </is>
      </c>
      <c r="G6" t="inlineStr">
        <is>
          <t>+8% Critical Hit Chance</t>
        </is>
      </c>
      <c r="I6" t="inlineStr">
        <is>
          <t>SRC_0001</t>
        </is>
      </c>
      <c r="J6" t="inlineStr">
        <is>
          <t>2026-02-11</t>
        </is>
      </c>
      <c r="K6" t="inlineStr">
        <is>
          <t>CURRENT_2026-02</t>
        </is>
      </c>
    </row>
    <row r="7">
      <c r="A7" t="inlineStr">
        <is>
          <t>BRD_0006</t>
        </is>
      </c>
      <c r="B7" t="inlineStr">
        <is>
          <t>Walker, Harris &amp; Co.</t>
        </is>
      </c>
      <c r="E7" t="inlineStr">
        <is>
          <t>+5% Weapon Damage</t>
        </is>
      </c>
      <c r="F7" t="inlineStr">
        <is>
          <t>+5% Damage to Armor</t>
        </is>
      </c>
      <c r="G7" t="inlineStr">
        <is>
          <t>+10% Damage to Health</t>
        </is>
      </c>
      <c r="I7" t="inlineStr">
        <is>
          <t>SRC_0001</t>
        </is>
      </c>
      <c r="J7" t="inlineStr">
        <is>
          <t>2026-02-11</t>
        </is>
      </c>
      <c r="K7" t="inlineStr">
        <is>
          <t>CURRENT_2026-02</t>
        </is>
      </c>
    </row>
    <row r="8">
      <c r="A8" t="inlineStr">
        <is>
          <t>BRD_0007</t>
        </is>
      </c>
      <c r="B8" t="inlineStr">
        <is>
          <t>Overlord Armaments</t>
        </is>
      </c>
      <c r="E8" t="inlineStr">
        <is>
          <t>+10% Rifle Damage</t>
        </is>
      </c>
      <c r="F8" t="inlineStr">
        <is>
          <t>+20% Accuracy</t>
        </is>
      </c>
      <c r="G8" t="inlineStr">
        <is>
          <t>+10% Weapon Handling</t>
        </is>
      </c>
      <c r="I8" t="inlineStr">
        <is>
          <t>SRC_0001</t>
        </is>
      </c>
      <c r="J8" t="inlineStr">
        <is>
          <t>2026-02-11</t>
        </is>
      </c>
      <c r="K8" t="inlineStr">
        <is>
          <t>CURRENT_2026-02</t>
        </is>
      </c>
    </row>
    <row r="9">
      <c r="A9" t="inlineStr">
        <is>
          <t>BRD_0008</t>
        </is>
      </c>
      <c r="B9" t="inlineStr">
        <is>
          <t>Petrov Defense Group</t>
        </is>
      </c>
      <c r="E9" t="inlineStr">
        <is>
          <t>+10% LMG Damage</t>
        </is>
      </c>
      <c r="F9" t="inlineStr">
        <is>
          <t>+10% Weapon Handling</t>
        </is>
      </c>
      <c r="G9" t="inlineStr">
        <is>
          <t>+20% Ammo Capacity</t>
        </is>
      </c>
      <c r="I9" t="inlineStr">
        <is>
          <t>SRC_0001</t>
        </is>
      </c>
      <c r="J9" t="inlineStr">
        <is>
          <t>2026-02-11</t>
        </is>
      </c>
      <c r="K9" t="inlineStr">
        <is>
          <t>CURRENT_2026-02</t>
        </is>
      </c>
    </row>
    <row r="10">
      <c r="A10" t="inlineStr">
        <is>
          <t>BRD_0009</t>
        </is>
      </c>
      <c r="B10" t="inlineStr">
        <is>
          <t>Alps Summit Armament</t>
        </is>
      </c>
      <c r="E10" t="inlineStr">
        <is>
          <t>+18% Skill Repair</t>
        </is>
      </c>
      <c r="F10" t="inlineStr">
        <is>
          <t>+30% Skill Duration</t>
        </is>
      </c>
      <c r="G10" t="inlineStr">
        <is>
          <t>+30% Skill Haste</t>
        </is>
      </c>
      <c r="I10" t="inlineStr">
        <is>
          <t>SRC_0001</t>
        </is>
      </c>
      <c r="J10" t="inlineStr">
        <is>
          <t>2026-02-11</t>
        </is>
      </c>
      <c r="K10" t="inlineStr">
        <is>
          <t>CURRENT_2026-02</t>
        </is>
      </c>
    </row>
    <row r="11">
      <c r="A11" t="inlineStr">
        <is>
          <t>BRD_0010</t>
        </is>
      </c>
      <c r="B11" t="inlineStr">
        <is>
          <t>China Light Industries Corporation</t>
        </is>
      </c>
      <c r="E11" t="inlineStr">
        <is>
          <t>+15% Explosive Damage</t>
        </is>
      </c>
      <c r="F11" t="inlineStr">
        <is>
          <t>+20% Skill Haste</t>
        </is>
      </c>
      <c r="G11" t="inlineStr">
        <is>
          <t>+25% Status Effects</t>
        </is>
      </c>
      <c r="I11" t="inlineStr">
        <is>
          <t>SRC_0001</t>
        </is>
      </c>
      <c r="J11" t="inlineStr">
        <is>
          <t>2026-02-11</t>
        </is>
      </c>
      <c r="K11" t="inlineStr">
        <is>
          <t>CURRENT_2026-02</t>
        </is>
      </c>
    </row>
    <row r="12">
      <c r="A12" t="inlineStr">
        <is>
          <t>BRD_0011</t>
        </is>
      </c>
      <c r="B12" t="inlineStr">
        <is>
          <t>Empress International</t>
        </is>
      </c>
      <c r="E12" t="inlineStr">
        <is>
          <t>+10% Skill Health</t>
        </is>
      </c>
      <c r="F12" t="inlineStr">
        <is>
          <t>+10% Skill Damage</t>
        </is>
      </c>
      <c r="G12" t="inlineStr">
        <is>
          <t>+8% Skill Efficiency</t>
        </is>
      </c>
      <c r="I12" t="inlineStr">
        <is>
          <t>SRC_0001</t>
        </is>
      </c>
      <c r="J12" t="inlineStr">
        <is>
          <t>2026-02-11</t>
        </is>
      </c>
      <c r="K12" t="inlineStr">
        <is>
          <t>CURRENT_2026-02</t>
        </is>
      </c>
    </row>
    <row r="13">
      <c r="A13" t="inlineStr">
        <is>
          <t>BRD_0012</t>
        </is>
      </c>
      <c r="B13" t="inlineStr">
        <is>
          <t>Belstone Armory</t>
        </is>
      </c>
      <c r="E13" t="inlineStr">
        <is>
          <t>+1% Armor Regen</t>
        </is>
      </c>
      <c r="F13" t="inlineStr">
        <is>
          <t>+10% Armor on Kill</t>
        </is>
      </c>
      <c r="G13" t="inlineStr">
        <is>
          <t>+45% Incoming Repairs</t>
        </is>
      </c>
      <c r="I13" t="inlineStr">
        <is>
          <t>SRC_0001</t>
        </is>
      </c>
      <c r="J13" t="inlineStr">
        <is>
          <t>2026-02-11</t>
        </is>
      </c>
      <c r="K13" t="inlineStr">
        <is>
          <t>CURRENT_2026-02</t>
        </is>
      </c>
    </row>
    <row r="14">
      <c r="A14" t="inlineStr">
        <is>
          <t>BRD_0013</t>
        </is>
      </c>
      <c r="B14" t="inlineStr">
        <is>
          <t>Brazos de Arcabuz</t>
        </is>
      </c>
      <c r="E14" t="inlineStr">
        <is>
          <t>+10% Skill Haste</t>
        </is>
      </c>
      <c r="F14" t="inlineStr">
        <is>
          <t>+1 Skill Tier</t>
        </is>
      </c>
      <c r="G14" t="inlineStr">
        <is>
          <t>+50% Magazine Size</t>
        </is>
      </c>
      <c r="I14" t="inlineStr">
        <is>
          <t>SRC_0001</t>
        </is>
      </c>
      <c r="J14" t="inlineStr">
        <is>
          <t>2026-02-11</t>
        </is>
      </c>
      <c r="K14" t="inlineStr">
        <is>
          <t>CURRENT_2026-02</t>
        </is>
      </c>
    </row>
    <row r="15">
      <c r="A15" t="inlineStr">
        <is>
          <t>BRD_0014</t>
        </is>
      </c>
      <c r="B15" t="inlineStr">
        <is>
          <t>Gila Guard</t>
        </is>
      </c>
      <c r="E15" t="inlineStr">
        <is>
          <t>+5% Total Armor</t>
        </is>
      </c>
      <c r="F15" t="inlineStr">
        <is>
          <t>+60% Health</t>
        </is>
      </c>
      <c r="G15" t="inlineStr">
        <is>
          <t>+2% Armor Regeneration</t>
        </is>
      </c>
      <c r="I15" t="inlineStr">
        <is>
          <t>SRC_0001</t>
        </is>
      </c>
      <c r="J15" t="inlineStr">
        <is>
          <t>2026-02-11</t>
        </is>
      </c>
      <c r="K15" t="inlineStr">
        <is>
          <t>CURRENT_2026-02</t>
        </is>
      </c>
    </row>
    <row r="16">
      <c r="A16" t="inlineStr">
        <is>
          <t>BRD_0015</t>
        </is>
      </c>
      <c r="B16" t="inlineStr">
        <is>
          <t>Hana-U Corporation</t>
        </is>
      </c>
      <c r="E16" t="inlineStr">
        <is>
          <t>+10% Skill Haste</t>
        </is>
      </c>
      <c r="F16" t="inlineStr">
        <is>
          <t>+10% Skill Damage</t>
        </is>
      </c>
      <c r="G16" t="inlineStr">
        <is>
          <t>+15% Weapon Damage</t>
        </is>
      </c>
      <c r="I16" t="inlineStr">
        <is>
          <t>SRC_0001</t>
        </is>
      </c>
      <c r="J16" t="inlineStr">
        <is>
          <t>2026-02-11</t>
        </is>
      </c>
      <c r="K16" t="inlineStr">
        <is>
          <t>CURRENT_2026-02</t>
        </is>
      </c>
    </row>
    <row r="17">
      <c r="A17" t="inlineStr">
        <is>
          <t>BRD_0016</t>
        </is>
      </c>
      <c r="B17" t="inlineStr">
        <is>
          <t>Palisade Steelworks</t>
        </is>
      </c>
      <c r="E17" t="inlineStr">
        <is>
          <t>+10% Armor on Kill</t>
        </is>
      </c>
      <c r="F17" t="inlineStr">
        <is>
          <t>+60% Health</t>
        </is>
      </c>
      <c r="G17" t="inlineStr">
        <is>
          <t>+1 Skill Tier</t>
        </is>
      </c>
      <c r="I17" t="inlineStr">
        <is>
          <t>SRC_0001</t>
        </is>
      </c>
      <c r="J17" t="inlineStr">
        <is>
          <t>2026-02-11</t>
        </is>
      </c>
      <c r="K17" t="inlineStr">
        <is>
          <t>CURRENT_2026-02</t>
        </is>
      </c>
    </row>
    <row r="18">
      <c r="A18" t="inlineStr">
        <is>
          <t>BRD_0017</t>
        </is>
      </c>
      <c r="B18" t="inlineStr">
        <is>
          <t>Uzina Getica</t>
        </is>
      </c>
      <c r="E18" t="inlineStr">
        <is>
          <t>+5% Armor</t>
        </is>
      </c>
      <c r="F18" t="inlineStr">
        <is>
          <t>+10% Armor on Kill</t>
        </is>
      </c>
      <c r="G18" t="inlineStr">
        <is>
          <t>+30% Hazard Protection</t>
        </is>
      </c>
      <c r="I18" t="inlineStr">
        <is>
          <t>SRC_0001</t>
        </is>
      </c>
      <c r="J18" t="inlineStr">
        <is>
          <t>2026-02-11</t>
        </is>
      </c>
      <c r="K18" t="inlineStr">
        <is>
          <t>CURRENT_2026-02</t>
        </is>
      </c>
    </row>
    <row r="19">
      <c r="A19" t="inlineStr">
        <is>
          <t>BRD_0018</t>
        </is>
      </c>
      <c r="B19" t="inlineStr">
        <is>
          <t>Wyvern Wear</t>
        </is>
      </c>
      <c r="E19" t="inlineStr">
        <is>
          <t>+8% Skill Damage</t>
        </is>
      </c>
      <c r="F19" t="inlineStr">
        <is>
          <t>+18% Status Effects</t>
        </is>
      </c>
      <c r="G19" t="inlineStr">
        <is>
          <t>+45% Skill Duration</t>
        </is>
      </c>
      <c r="I19" t="inlineStr">
        <is>
          <t>SRC_0001</t>
        </is>
      </c>
      <c r="J19" t="inlineStr">
        <is>
          <t>2026-02-11</t>
        </is>
      </c>
      <c r="K19" t="inlineStr">
        <is>
          <t>CURRENT_2026-02</t>
        </is>
      </c>
    </row>
  </sheetData>
  <autoFilter ref="A1:I1"/>
  <dataValidations count="2">
    <dataValidation sqref="I2:I1000" showDropDown="0" showInputMessage="0" showErrorMessage="0" allowBlank="1" errorTitle="Valor inválido" error="Selecione um valor da lista." promptTitle="Validação" prompt="Escolha um valor válido." type="list">
      <formula1>=SourceIdList</formula1>
    </dataValidation>
    <dataValidation sqref="K2:K1000" showDropDown="0" showInputMessage="0" showErrorMessage="0" allowBlank="1" errorTitle="Valor inválido" error="Selecione um valor da lista." promptTitle="Validação" prompt="Escolha um valor válido." type="list">
      <formula1>=PatchVersionList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CE5CD"/>
    <outlinePr summaryBelow="1" summaryRight="1"/>
    <pageSetUpPr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28" customWidth="1" min="4" max="4"/>
    <col width="26" customWidth="1" min="5" max="5"/>
    <col width="32" customWidth="1" min="6" max="6"/>
    <col width="42" customWidth="1" min="7" max="7"/>
    <col width="26" customWidth="1" min="8" max="8"/>
    <col width="12" customWidth="1" min="9" max="9"/>
    <col width="14" customWidth="1" min="10" max="10"/>
    <col width="14" customWidth="1" min="11" max="11"/>
  </cols>
  <sheetData>
    <row r="1" ht="28" customHeight="1">
      <c r="A1" s="4" t="inlineStr">
        <is>
          <t>set_id</t>
        </is>
      </c>
      <c r="B1" s="4" t="inlineStr">
        <is>
          <t>name</t>
        </is>
      </c>
      <c r="C1" s="4" t="inlineStr">
        <is>
          <t>wiki_url</t>
        </is>
      </c>
      <c r="D1" s="4" t="inlineStr">
        <is>
          <t>logo_url</t>
        </is>
      </c>
      <c r="E1" s="4" t="inlineStr">
        <is>
          <t>bonus_2</t>
        </is>
      </c>
      <c r="F1" s="4" t="inlineStr">
        <is>
          <t>bonus_3</t>
        </is>
      </c>
      <c r="G1" s="4" t="inlineStr">
        <is>
          <t>bonus_4</t>
        </is>
      </c>
      <c r="H1" s="4" t="inlineStr">
        <is>
          <t>notes</t>
        </is>
      </c>
      <c r="I1" s="4" t="inlineStr">
        <is>
          <t>source_id</t>
        </is>
      </c>
      <c r="J1" s="4" t="inlineStr">
        <is>
          <t>last_updated</t>
        </is>
      </c>
      <c r="K1" s="4" t="inlineStr">
        <is>
          <t>patch_version</t>
        </is>
      </c>
    </row>
    <row r="2">
      <c r="A2" t="inlineStr">
        <is>
          <t>GST_0001</t>
        </is>
      </c>
      <c r="B2" t="inlineStr">
        <is>
          <t>Striker's Battlegear</t>
        </is>
      </c>
      <c r="E2" t="inlineStr">
        <is>
          <t>+15% Weapon Handling</t>
        </is>
      </c>
      <c r="F2" t="inlineStr">
        <is>
          <t>+15% Rate of Fire</t>
        </is>
      </c>
      <c r="G2" t="inlineStr">
        <is>
          <t>Striker's Gamble</t>
        </is>
      </c>
      <c r="I2" t="inlineStr">
        <is>
          <t>SRC_0002</t>
        </is>
      </c>
      <c r="J2" t="inlineStr">
        <is>
          <t>2026-02-11</t>
        </is>
      </c>
      <c r="K2" t="inlineStr">
        <is>
          <t>CURRENT_2026-02</t>
        </is>
      </c>
    </row>
    <row r="3">
      <c r="A3" t="inlineStr">
        <is>
          <t>GST_0002</t>
        </is>
      </c>
      <c r="B3" t="inlineStr">
        <is>
          <t>Heartbreaker</t>
        </is>
      </c>
      <c r="E3" t="inlineStr">
        <is>
          <t>+15% Assault Rifle Damage +15% LMG Damage</t>
        </is>
      </c>
      <c r="F3" t="inlineStr">
        <is>
          <t>+15% Weapon Handling</t>
        </is>
      </c>
      <c r="G3" t="inlineStr">
        <is>
          <t>Heartstopper</t>
        </is>
      </c>
      <c r="I3" t="inlineStr">
        <is>
          <t>SRC_0002</t>
        </is>
      </c>
      <c r="J3" t="inlineStr">
        <is>
          <t>2026-02-11</t>
        </is>
      </c>
      <c r="K3" t="inlineStr">
        <is>
          <t>CURRENT_2026-02</t>
        </is>
      </c>
    </row>
    <row r="4">
      <c r="A4" t="inlineStr">
        <is>
          <t>GST_0003</t>
        </is>
      </c>
      <c r="B4" t="inlineStr">
        <is>
          <t>Hunter's Fury</t>
        </is>
      </c>
      <c r="E4" t="inlineStr">
        <is>
          <t>+15% Shotgun Damage</t>
        </is>
      </c>
      <c r="F4" t="inlineStr">
        <is>
          <t>+15% SMG Damage +20% Armor on Kill</t>
        </is>
      </c>
      <c r="G4" t="inlineStr">
        <is>
          <t>Apex Predator (+50% Health on Kill)</t>
        </is>
      </c>
      <c r="I4" t="inlineStr">
        <is>
          <t>SRC_0002</t>
        </is>
      </c>
      <c r="J4" t="inlineStr">
        <is>
          <t>2026-02-11</t>
        </is>
      </c>
      <c r="K4" t="inlineStr">
        <is>
          <t>CURRENT_2026-02</t>
        </is>
      </c>
    </row>
    <row r="5">
      <c r="A5" t="inlineStr">
        <is>
          <t>GST_0004</t>
        </is>
      </c>
      <c r="B5" t="inlineStr">
        <is>
          <t>Negotiator's Dilemma</t>
        </is>
      </c>
      <c r="E5" t="inlineStr">
        <is>
          <t>+15% Critical Hit Chance</t>
        </is>
      </c>
      <c r="F5" t="inlineStr">
        <is>
          <t>+20% Critical Hit Damage</t>
        </is>
      </c>
      <c r="G5" t="inlineStr">
        <is>
          <t>Hostile Negotiations</t>
        </is>
      </c>
      <c r="I5" t="inlineStr">
        <is>
          <t>SRC_0002</t>
        </is>
      </c>
      <c r="J5" t="inlineStr">
        <is>
          <t>2026-02-11</t>
        </is>
      </c>
      <c r="K5" t="inlineStr">
        <is>
          <t>CURRENT_2026-02</t>
        </is>
      </c>
    </row>
    <row r="6">
      <c r="A6" t="inlineStr">
        <is>
          <t>GST_0005</t>
        </is>
      </c>
      <c r="B6" t="inlineStr">
        <is>
          <t>Hotshot</t>
        </is>
      </c>
      <c r="E6" t="inlineStr">
        <is>
          <t>+30% Marksman Rifle Damage</t>
        </is>
      </c>
      <c r="F6" t="inlineStr">
        <is>
          <t>+30% Weapon Handling +30% Headshot Damage</t>
        </is>
      </c>
      <c r="G6" t="inlineStr">
        <is>
          <t>Headache</t>
        </is>
      </c>
      <c r="I6" t="inlineStr">
        <is>
          <t>SRC_0002</t>
        </is>
      </c>
      <c r="J6" t="inlineStr">
        <is>
          <t>2026-02-11</t>
        </is>
      </c>
      <c r="K6" t="inlineStr">
        <is>
          <t>CURRENT_2026-02</t>
        </is>
      </c>
    </row>
    <row r="7">
      <c r="A7" t="inlineStr">
        <is>
          <t>GST_0006</t>
        </is>
      </c>
      <c r="B7" t="inlineStr">
        <is>
          <t>Eclipse Protocol</t>
        </is>
      </c>
      <c r="E7" t="inlineStr">
        <is>
          <t>+15% Status Effects</t>
        </is>
      </c>
      <c r="F7" t="inlineStr">
        <is>
          <t>+15% Skill Haste +30% Hazard Protection</t>
        </is>
      </c>
      <c r="G7" t="inlineStr">
        <is>
          <t>Indirect Transmission</t>
        </is>
      </c>
      <c r="I7" t="inlineStr">
        <is>
          <t>SRC_0002</t>
        </is>
      </c>
      <c r="J7" t="inlineStr">
        <is>
          <t>2026-02-11</t>
        </is>
      </c>
      <c r="K7" t="inlineStr">
        <is>
          <t>CURRENT_2026-02</t>
        </is>
      </c>
    </row>
    <row r="8">
      <c r="A8" t="inlineStr">
        <is>
          <t>GST_0007</t>
        </is>
      </c>
      <c r="B8" t="inlineStr">
        <is>
          <t>Foundry Bulwark</t>
        </is>
      </c>
      <c r="E8" t="inlineStr">
        <is>
          <t>+10% Total Armor</t>
        </is>
      </c>
      <c r="F8" t="inlineStr">
        <is>
          <t>+1% Armor Regeneration +50% Shield Health</t>
        </is>
      </c>
      <c r="G8" t="inlineStr">
        <is>
          <t>Makeshift Repairs</t>
        </is>
      </c>
      <c r="I8" t="inlineStr">
        <is>
          <t>SRC_0002</t>
        </is>
      </c>
      <c r="J8" t="inlineStr">
        <is>
          <t>2026-02-11</t>
        </is>
      </c>
      <c r="K8" t="inlineStr">
        <is>
          <t>CURRENT_2026-02</t>
        </is>
      </c>
    </row>
    <row r="9">
      <c r="A9" t="inlineStr">
        <is>
          <t>GST_0008</t>
        </is>
      </c>
      <c r="B9" t="inlineStr">
        <is>
          <t>Future Initiative</t>
        </is>
      </c>
      <c r="E9" t="inlineStr">
        <is>
          <t>+30% Repair Skills</t>
        </is>
      </c>
      <c r="F9" t="inlineStr">
        <is>
          <t>+15% Skill Haste +30% Skill Duration</t>
        </is>
      </c>
      <c r="G9" t="inlineStr">
        <is>
          <t>Ground Control</t>
        </is>
      </c>
      <c r="I9" t="inlineStr">
        <is>
          <t>SRC_0002</t>
        </is>
      </c>
      <c r="J9" t="inlineStr">
        <is>
          <t>2026-02-11</t>
        </is>
      </c>
      <c r="K9" t="inlineStr">
        <is>
          <t>CURRENT_2026-02</t>
        </is>
      </c>
    </row>
    <row r="10">
      <c r="A10" t="inlineStr">
        <is>
          <t>GST_0009</t>
        </is>
      </c>
      <c r="B10" t="inlineStr">
        <is>
          <t>Umbra Initiative</t>
        </is>
      </c>
      <c r="E10" t="inlineStr">
        <is>
          <t>+15% Critical Chance</t>
        </is>
      </c>
      <c r="F10" t="inlineStr">
        <is>
          <t>+30% Reload Speed</t>
        </is>
      </c>
      <c r="G10" t="inlineStr">
        <is>
          <t>From the Shadows / Into the Light</t>
        </is>
      </c>
      <c r="I10" t="inlineStr">
        <is>
          <t>SRC_0003</t>
        </is>
      </c>
      <c r="J10" t="inlineStr">
        <is>
          <t>2026-02-11</t>
        </is>
      </c>
      <c r="K10" t="inlineStr">
        <is>
          <t>CURRENT_2026-02</t>
        </is>
      </c>
    </row>
    <row r="11">
      <c r="A11" t="inlineStr">
        <is>
          <t>GST_0010</t>
        </is>
      </c>
      <c r="B11" t="inlineStr">
        <is>
          <t>Tip of the Spear</t>
        </is>
      </c>
      <c r="E11" t="inlineStr">
        <is>
          <t>+20% Signature Weapon Damage</t>
        </is>
      </c>
      <c r="F11" t="inlineStr">
        <is>
          <t>+10% Weapon Damage</t>
        </is>
      </c>
      <c r="G11" t="inlineStr">
        <is>
          <t>Aggressive Recon</t>
        </is>
      </c>
      <c r="I11" t="inlineStr">
        <is>
          <t>SRC_0003</t>
        </is>
      </c>
      <c r="J11" t="inlineStr">
        <is>
          <t>2026-02-11</t>
        </is>
      </c>
      <c r="K11" t="inlineStr">
        <is>
          <t>CURRENT_2026-02</t>
        </is>
      </c>
    </row>
  </sheetData>
  <autoFilter ref="A1:I1"/>
  <dataValidations count="2">
    <dataValidation sqref="I2:I1000" showDropDown="0" showInputMessage="0" showErrorMessage="0" allowBlank="1" errorTitle="Valor inválido" error="Selecione um valor da lista." promptTitle="Validação" prompt="Escolha um valor válido." type="list">
      <formula1>=SourceIdList</formula1>
    </dataValidation>
    <dataValidation sqref="K2:K1000" showDropDown="0" showInputMessage="0" showErrorMessage="0" allowBlank="1" errorTitle="Valor inválido" error="Selecione um valor da lista." promptTitle="Validação" prompt="Escolha um valor válido." type="list">
      <formula1>=PatchVersionList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D1DC"/>
    <outlinePr summaryBelow="1" summaryRight="1"/>
    <pageSetUpPr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54" customWidth="1" min="4" max="4"/>
    <col width="12" customWidth="1" min="5" max="5"/>
    <col width="24" customWidth="1" min="6" max="6"/>
    <col width="44" customWidth="1" min="7" max="7"/>
    <col width="12" customWidth="1" min="8" max="8"/>
    <col width="14" customWidth="1" min="9" max="9"/>
    <col width="14" customWidth="1" min="10" max="10"/>
  </cols>
  <sheetData>
    <row r="1" ht="28" customHeight="1">
      <c r="A1" s="4" t="inlineStr">
        <is>
          <t>talent_id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description</t>
        </is>
      </c>
      <c r="E1" s="4" t="inlineStr">
        <is>
          <t>cooldown_s</t>
        </is>
      </c>
      <c r="F1" s="4" t="inlineStr">
        <is>
          <t>conditions</t>
        </is>
      </c>
      <c r="G1" s="4" t="inlineStr">
        <is>
          <t>wiki_url</t>
        </is>
      </c>
      <c r="H1" s="4" t="inlineStr">
        <is>
          <t>source_id</t>
        </is>
      </c>
      <c r="I1" s="4" t="inlineStr">
        <is>
          <t>last_updated</t>
        </is>
      </c>
      <c r="J1" s="4" t="inlineStr">
        <is>
          <t>patch_version</t>
        </is>
      </c>
    </row>
    <row r="2">
      <c r="A2" t="inlineStr">
        <is>
          <t>TLT_0001</t>
        </is>
      </c>
      <c r="B2" t="inlineStr">
        <is>
          <t>Vigilance</t>
        </is>
      </c>
      <c r="C2" t="inlineStr">
        <is>
          <t>Backpack</t>
        </is>
      </c>
      <c r="D2" t="inlineStr">
        <is>
          <t>+25% dano total da arma; ao tomar dano o bônus desliga por 4s.</t>
        </is>
      </c>
      <c r="E2" t="n">
        <v>4</v>
      </c>
      <c r="F2" t="inlineStr">
        <is>
          <t>Desativa ao tomar dano</t>
        </is>
      </c>
      <c r="G2" t="inlineStr">
        <is>
          <t>https://thedivision.fandom.com/wiki/Talents/Tom_Clancy%27s_The_Division_2</t>
        </is>
      </c>
      <c r="H2" t="inlineStr">
        <is>
          <t>SRC_0006</t>
        </is>
      </c>
      <c r="I2" t="inlineStr">
        <is>
          <t>2026-02-11</t>
        </is>
      </c>
      <c r="J2" t="inlineStr">
        <is>
          <t>CURRENT_2026-02</t>
        </is>
      </c>
    </row>
    <row r="3">
      <c r="A3" t="inlineStr">
        <is>
          <t>TLT_0002</t>
        </is>
      </c>
      <c r="B3" t="inlineStr">
        <is>
          <t>Adrenaline Rush</t>
        </is>
      </c>
      <c r="C3" t="inlineStr">
        <is>
          <t>Backpack</t>
        </is>
      </c>
      <c r="D3" t="inlineStr">
        <is>
          <t>Ao ficar a até 10m de inimigo: ganha 20% de armadura bônus por 5s; acumula até 3; CD 5s.</t>
        </is>
      </c>
      <c r="E3" t="n">
        <v>5</v>
      </c>
      <c r="F3" t="inlineStr">
        <is>
          <t>Até 10m do inimigo; stacks 3</t>
        </is>
      </c>
      <c r="G3" t="inlineStr">
        <is>
          <t>https://thedivision.fandom.com/wiki/Talents/Tom_Clancy%27s_The_Division_2</t>
        </is>
      </c>
      <c r="H3" t="inlineStr">
        <is>
          <t>SRC_0006</t>
        </is>
      </c>
      <c r="I3" t="inlineStr">
        <is>
          <t>2026-02-11</t>
        </is>
      </c>
      <c r="J3" t="inlineStr">
        <is>
          <t>CURRENT_2026-02</t>
        </is>
      </c>
    </row>
    <row r="4">
      <c r="A4" t="inlineStr">
        <is>
          <t>TLT_0003</t>
        </is>
      </c>
      <c r="B4" t="inlineStr">
        <is>
          <t>Bloodsucker</t>
        </is>
      </c>
      <c r="C4" t="inlineStr">
        <is>
          <t>Backpack</t>
        </is>
      </c>
      <c r="D4" t="inlineStr">
        <is>
          <t>Kill dá stack de +10% armadura bônus por 10s; renova stacks; máximo 10 stacks.</t>
        </is>
      </c>
      <c r="F4" t="inlineStr">
        <is>
          <t>Ao matar; stacks 10</t>
        </is>
      </c>
      <c r="G4" t="inlineStr">
        <is>
          <t>https://thedivision.fandom.com/wiki/Talents/Tom_Clancy%27s_The_Division_2</t>
        </is>
      </c>
      <c r="H4" t="inlineStr">
        <is>
          <t>SRC_0006</t>
        </is>
      </c>
      <c r="I4" t="inlineStr">
        <is>
          <t>2026-02-11</t>
        </is>
      </c>
      <c r="J4" t="inlineStr">
        <is>
          <t>CURRENT_2026-02</t>
        </is>
      </c>
    </row>
    <row r="5">
      <c r="A5" t="inlineStr">
        <is>
          <t>TLT_0004</t>
        </is>
      </c>
      <c r="B5" t="inlineStr">
        <is>
          <t>Companion</t>
        </is>
      </c>
      <c r="C5" t="inlineStr">
        <is>
          <t>Backpack</t>
        </is>
      </c>
      <c r="D5" t="inlineStr">
        <is>
          <t>Dentro de 5m de aliado ou skill: +15% dano total da arma.</t>
        </is>
      </c>
      <c r="F5" t="inlineStr">
        <is>
          <t>Até 5m de aliado/skill</t>
        </is>
      </c>
      <c r="G5" t="inlineStr">
        <is>
          <t>https://thedivision.fandom.com/wiki/Talents/Tom_Clancy%27s_The_Division_2</t>
        </is>
      </c>
      <c r="H5" t="inlineStr">
        <is>
          <t>SRC_0006</t>
        </is>
      </c>
      <c r="I5" t="inlineStr">
        <is>
          <t>2026-02-11</t>
        </is>
      </c>
      <c r="J5" t="inlineStr">
        <is>
          <t>CURRENT_2026-02</t>
        </is>
      </c>
    </row>
    <row r="6">
      <c r="A6" t="inlineStr">
        <is>
          <t>TLT_0005</t>
        </is>
      </c>
      <c r="B6" t="inlineStr">
        <is>
          <t>Unbreakable</t>
        </is>
      </c>
      <c r="C6" t="inlineStr">
        <is>
          <t>Chest</t>
        </is>
      </c>
      <c r="D6" t="inlineStr">
        <is>
          <t>Quando a armadura zera: repara 95% da armadura. CD 60s.</t>
        </is>
      </c>
      <c r="E6" t="n">
        <v>60</v>
      </c>
      <c r="F6" t="inlineStr">
        <is>
          <t>Ao ficar sem armadura</t>
        </is>
      </c>
      <c r="G6" t="inlineStr">
        <is>
          <t>https://thedivision.fandom.com/wiki/Talents/Tom_Clancy%27s_The_Division_2</t>
        </is>
      </c>
      <c r="H6" t="inlineStr">
        <is>
          <t>SRC_0006</t>
        </is>
      </c>
      <c r="I6" t="inlineStr">
        <is>
          <t>2026-02-11</t>
        </is>
      </c>
      <c r="J6" t="inlineStr">
        <is>
          <t>CURRENT_2026-02</t>
        </is>
      </c>
    </row>
    <row r="7">
      <c r="A7" t="inlineStr">
        <is>
          <t>TLT_0006</t>
        </is>
      </c>
      <c r="B7" t="inlineStr">
        <is>
          <t>Obliterate</t>
        </is>
      </c>
      <c r="C7" t="inlineStr">
        <is>
          <t>Chest</t>
        </is>
      </c>
      <c r="D7" t="inlineStr">
        <is>
          <t>Crítico: +1% dano total da arma por 5s; acumula até 25 stacks.</t>
        </is>
      </c>
      <c r="F7" t="inlineStr">
        <is>
          <t>Crit hits; stacks 25</t>
        </is>
      </c>
      <c r="G7" t="inlineStr">
        <is>
          <t>https://thedivision.fandom.com/wiki/Talents/Tom_Clancy%27s_The_Division_2</t>
        </is>
      </c>
      <c r="H7" t="inlineStr">
        <is>
          <t>SRC_0006</t>
        </is>
      </c>
      <c r="I7" t="inlineStr">
        <is>
          <t>2026-02-11</t>
        </is>
      </c>
      <c r="J7" t="inlineStr">
        <is>
          <t>CURRENT_2026-02</t>
        </is>
      </c>
    </row>
    <row r="8">
      <c r="A8" t="inlineStr">
        <is>
          <t>TLT_0007</t>
        </is>
      </c>
      <c r="B8" t="inlineStr">
        <is>
          <t>Glass Cannon</t>
        </is>
      </c>
      <c r="C8" t="inlineStr">
        <is>
          <t>Chest</t>
        </is>
      </c>
      <c r="D8" t="inlineStr">
        <is>
          <t>Você causa +25% dano (amplificado), mas recebe +50% dano (amplificado).</t>
        </is>
      </c>
      <c r="F8" t="inlineStr">
        <is>
          <t>Sempre ativo</t>
        </is>
      </c>
      <c r="G8" t="inlineStr">
        <is>
          <t>https://thedivision.fandom.com/wiki/Talents/Tom_Clancy%27s_The_Division_2</t>
        </is>
      </c>
      <c r="H8" t="inlineStr">
        <is>
          <t>SRC_0006</t>
        </is>
      </c>
      <c r="I8" t="inlineStr">
        <is>
          <t>2026-02-11</t>
        </is>
      </c>
      <c r="J8" t="inlineStr">
        <is>
          <t>CURRENT_2026-02</t>
        </is>
      </c>
    </row>
    <row r="9">
      <c r="A9" t="inlineStr">
        <is>
          <t>TLT_0008</t>
        </is>
      </c>
      <c r="B9" t="inlineStr">
        <is>
          <t>Spotter</t>
        </is>
      </c>
      <c r="C9" t="inlineStr">
        <is>
          <t>Chest</t>
        </is>
      </c>
      <c r="D9" t="inlineStr">
        <is>
          <t>Amplifica dano de arma e skill em 15% contra inimigos “pulsed”.</t>
        </is>
      </c>
      <c r="F9" t="inlineStr">
        <is>
          <t>Alvos com Pulse</t>
        </is>
      </c>
      <c r="G9" t="inlineStr">
        <is>
          <t>https://thedivision.fandom.com/wiki/Talents/Tom_Clancy%27s_The_Division_2</t>
        </is>
      </c>
      <c r="H9" t="inlineStr">
        <is>
          <t>SRC_0006</t>
        </is>
      </c>
      <c r="I9" t="inlineStr">
        <is>
          <t>2026-02-11</t>
        </is>
      </c>
      <c r="J9" t="inlineStr">
        <is>
          <t>CURRENT_2026-02</t>
        </is>
      </c>
    </row>
    <row r="10">
      <c r="A10" t="inlineStr">
        <is>
          <t>TLT_0009</t>
        </is>
      </c>
      <c r="B10" t="inlineStr">
        <is>
          <t>Braced</t>
        </is>
      </c>
      <c r="C10" t="inlineStr">
        <is>
          <t>Chest</t>
        </is>
      </c>
      <c r="D10" t="inlineStr">
        <is>
          <t>Enquanto em cover: +45% weapon handling.</t>
        </is>
      </c>
      <c r="F10" t="inlineStr">
        <is>
          <t>Em cover</t>
        </is>
      </c>
      <c r="G10" t="inlineStr">
        <is>
          <t>https://thedivision.fandom.com/wiki/Talents/Tom_Clancy%27s_The_Division_2</t>
        </is>
      </c>
      <c r="H10" t="inlineStr">
        <is>
          <t>SRC_0006</t>
        </is>
      </c>
      <c r="I10" t="inlineStr">
        <is>
          <t>2026-02-11</t>
        </is>
      </c>
      <c r="J10" t="inlineStr">
        <is>
          <t>CURRENT_2026-02</t>
        </is>
      </c>
    </row>
    <row r="11">
      <c r="A11" t="inlineStr">
        <is>
          <t>TLT_0010</t>
        </is>
      </c>
      <c r="B11" t="inlineStr">
        <is>
          <t>In Sync</t>
        </is>
      </c>
      <c r="C11" t="inlineStr">
        <is>
          <t>Weapon</t>
        </is>
      </c>
      <c r="D11" t="inlineStr">
        <is>
          <t>Acertar inimigo: +15% dano de skill por 5s. Usar skill (não-shield) ou dano de skill: +15% dano de arma por 5s. Com os dois: bônus dobrado.</t>
        </is>
      </c>
      <c r="E11" t="n">
        <v>5</v>
      </c>
      <c r="F11" t="inlineStr">
        <is>
          <t>Buffs 5s; dobra com ambos</t>
        </is>
      </c>
      <c r="G11" t="inlineStr">
        <is>
          <t>https://thedivision.fandom.com/wiki/In_Sync_%28Weapon_Talent%29</t>
        </is>
      </c>
      <c r="H11" t="inlineStr">
        <is>
          <t>SRC_0007</t>
        </is>
      </c>
      <c r="I11" t="inlineStr">
        <is>
          <t>2026-02-11</t>
        </is>
      </c>
      <c r="J11" t="inlineStr">
        <is>
          <t>CURRENT_2026-02</t>
        </is>
      </c>
    </row>
    <row r="12">
      <c r="A12" t="inlineStr">
        <is>
          <t>TLT_0011</t>
        </is>
      </c>
      <c r="B12" t="inlineStr">
        <is>
          <t>Flatline</t>
        </is>
      </c>
      <c r="C12" t="inlineStr">
        <is>
          <t>Weapon</t>
        </is>
      </c>
      <c r="D12" t="inlineStr">
        <is>
          <t>Amplifica dano da arma em 15% contra alvos com Pulse. Após 3 kills, aplica Pulse no próximo inimigo atingido.</t>
        </is>
      </c>
      <c r="F12" t="inlineStr">
        <is>
          <t>Pulse; após 3 kills</t>
        </is>
      </c>
      <c r="G12" t="inlineStr">
        <is>
          <t>https://thedivision.fandom.com/wiki/Flatline_%28Weapon_Talent%29</t>
        </is>
      </c>
      <c r="H12" t="inlineStr">
        <is>
          <t>SRC_0008</t>
        </is>
      </c>
      <c r="I12" t="inlineStr">
        <is>
          <t>2026-02-11</t>
        </is>
      </c>
      <c r="J12" t="inlineStr">
        <is>
          <t>CURRENT_2026-02</t>
        </is>
      </c>
    </row>
    <row r="13">
      <c r="A13" t="inlineStr">
        <is>
          <t>TLT_0012</t>
        </is>
      </c>
      <c r="B13" t="inlineStr">
        <is>
          <t>Optimist</t>
        </is>
      </c>
      <c r="C13" t="inlineStr">
        <is>
          <t>Weapon</t>
        </is>
      </c>
      <c r="D13" t="inlineStr">
        <is>
          <t>Dano da arma +3.5% a cada 10% de munição faltando no pente.</t>
        </is>
      </c>
      <c r="F13" t="inlineStr">
        <is>
          <t>Por % munição faltando</t>
        </is>
      </c>
      <c r="G13" t="inlineStr">
        <is>
          <t>https://thedivision.fandom.com/wiki/Optimist_%28Weapon_Talent%29</t>
        </is>
      </c>
      <c r="H13" t="inlineStr">
        <is>
          <t>SRC_0009</t>
        </is>
      </c>
      <c r="I13" t="inlineStr">
        <is>
          <t>2026-02-11</t>
        </is>
      </c>
      <c r="J13" t="inlineStr">
        <is>
          <t>CURRENT_2026-02</t>
        </is>
      </c>
    </row>
    <row r="14">
      <c r="A14" t="inlineStr">
        <is>
          <t>TLT_0013</t>
        </is>
      </c>
      <c r="B14" t="inlineStr">
        <is>
          <t>Strained</t>
        </is>
      </c>
      <c r="C14" t="inlineStr">
        <is>
          <t>Weapon</t>
        </is>
      </c>
      <c r="D14" t="inlineStr">
        <is>
          <t>Enquanto atira: a cada 0.5s ganha +10% dano crítico; acumula até 5 stacks.</t>
        </is>
      </c>
      <c r="F14" t="inlineStr">
        <is>
          <t>Atirando contínuo; stacks 5</t>
        </is>
      </c>
      <c r="G14" t="inlineStr">
        <is>
          <t>https://thedivision.fandom.com/wiki/Strained_%28Weapon_Talent%29</t>
        </is>
      </c>
      <c r="H14" t="inlineStr">
        <is>
          <t>SRC_0010</t>
        </is>
      </c>
      <c r="I14" t="inlineStr">
        <is>
          <t>2026-02-11</t>
        </is>
      </c>
      <c r="J14" t="inlineStr">
        <is>
          <t>CURRENT_2026-02</t>
        </is>
      </c>
    </row>
    <row r="15">
      <c r="A15" t="inlineStr">
        <is>
          <t>TLT_0014</t>
        </is>
      </c>
      <c r="B15" t="inlineStr">
        <is>
          <t>Fast Hands</t>
        </is>
      </c>
      <c r="C15" t="inlineStr">
        <is>
          <t>Weapon</t>
        </is>
      </c>
      <c r="D15" t="inlineStr">
        <is>
          <t>Críticos dão stack de +3% velocidade de recarga; máximo 40 stacks.</t>
        </is>
      </c>
      <c r="F15" t="inlineStr">
        <is>
          <t>Crit hits; stacks 40</t>
        </is>
      </c>
      <c r="G15" t="inlineStr">
        <is>
          <t>https://thedivision.fandom.com/wiki/Fast_Hands_%28Weapon_Talent%29</t>
        </is>
      </c>
      <c r="H15" t="inlineStr">
        <is>
          <t>SRC_0011</t>
        </is>
      </c>
      <c r="I15" t="inlineStr">
        <is>
          <t>2026-02-11</t>
        </is>
      </c>
      <c r="J15" t="inlineStr">
        <is>
          <t>CURRENT_2026-02</t>
        </is>
      </c>
    </row>
    <row r="16">
      <c r="A16" t="inlineStr">
        <is>
          <t>TLT_0015</t>
        </is>
      </c>
      <c r="B16" t="inlineStr">
        <is>
          <t>Ranger</t>
        </is>
      </c>
      <c r="C16" t="inlineStr">
        <is>
          <t>Weapon</t>
        </is>
      </c>
      <c r="D16" t="inlineStr">
        <is>
          <t>Amplifica dano da arma em 2% a cada 5m de distância do alvo.</t>
        </is>
      </c>
      <c r="F16" t="inlineStr">
        <is>
          <t>Distância ao alvo</t>
        </is>
      </c>
      <c r="G16" t="inlineStr">
        <is>
          <t>https://thedivision.fandom.com/wiki/Ranger_%28Weapon_Talent%29</t>
        </is>
      </c>
      <c r="H16" t="inlineStr">
        <is>
          <t>SRC_0012</t>
        </is>
      </c>
      <c r="I16" t="inlineStr">
        <is>
          <t>2026-02-11</t>
        </is>
      </c>
      <c r="J16" t="inlineStr">
        <is>
          <t>CURRENT_2026-02</t>
        </is>
      </c>
    </row>
  </sheetData>
  <autoFilter ref="A1:I1"/>
  <dataValidations count="3">
    <dataValidation sqref="C2:C1000" showDropDown="0" showInputMessage="0" showErrorMessage="0" allowBlank="1" errorTitle="Valor inválido" error="Selecione um valor da lista." promptTitle="Validação" prompt="Escolha um valor válido." type="list">
      <formula1>=TalentTypeList</formula1>
    </dataValidation>
    <dataValidation sqref="H2:H1000" showDropDown="0" showInputMessage="0" showErrorMessage="0" allowBlank="1" errorTitle="Valor inválido" error="Selecione um valor da lista." promptTitle="Validação" prompt="Escolha um valor válido." type="list">
      <formula1>=SourceIdList</formula1>
    </dataValidation>
    <dataValidation sqref="J2:J1000" showDropDown="0" showInputMessage="0" showErrorMessage="0" allowBlank="1" errorTitle="Valor inválido" error="Selecione um valor da lista." promptTitle="Validação" prompt="Escolha um valor válido." type="list">
      <formula1>=PatchVersionList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0E0E3"/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40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4" t="inlineStr">
        <is>
          <t>attr_id</t>
        </is>
      </c>
      <c r="B1" s="4" t="inlineStr">
        <is>
          <t>name</t>
        </is>
      </c>
      <c r="C1" s="4" t="inlineStr">
        <is>
          <t>category</t>
        </is>
      </c>
      <c r="D1" s="4" t="inlineStr">
        <is>
          <t>unit</t>
        </is>
      </c>
      <c r="E1" s="4" t="inlineStr">
        <is>
          <t>notes</t>
        </is>
      </c>
      <c r="F1" s="4" t="inlineStr">
        <is>
          <t>source_id</t>
        </is>
      </c>
      <c r="G1" s="4" t="inlineStr">
        <is>
          <t>last_updated</t>
        </is>
      </c>
      <c r="H1" s="4" t="inlineStr">
        <is>
          <t>patch_version</t>
        </is>
      </c>
    </row>
    <row r="2">
      <c r="A2" t="inlineStr">
        <is>
          <t>ATT_0001</t>
        </is>
      </c>
      <c r="B2" t="inlineStr">
        <is>
          <t>Weapon Damage</t>
        </is>
      </c>
      <c r="C2" t="inlineStr">
        <is>
          <t>Offensive</t>
        </is>
      </c>
      <c r="D2" t="inlineStr">
        <is>
          <t>%</t>
        </is>
      </c>
      <c r="E2" t="inlineStr">
        <is>
          <t>Core attribute</t>
        </is>
      </c>
      <c r="F2" t="inlineStr">
        <is>
          <t>SRC_0004</t>
        </is>
      </c>
      <c r="G2" t="inlineStr">
        <is>
          <t>2026-02-11</t>
        </is>
      </c>
      <c r="H2" t="inlineStr">
        <is>
          <t>CURRENT_2026-02</t>
        </is>
      </c>
    </row>
    <row r="3">
      <c r="A3" t="inlineStr">
        <is>
          <t>ATT_0002</t>
        </is>
      </c>
      <c r="B3" t="inlineStr">
        <is>
          <t>Armor</t>
        </is>
      </c>
      <c r="C3" t="inlineStr">
        <is>
          <t>Defensive</t>
        </is>
      </c>
      <c r="D3" t="inlineStr">
        <is>
          <t>flat</t>
        </is>
      </c>
      <c r="E3" t="inlineStr">
        <is>
          <t>Core attribute</t>
        </is>
      </c>
      <c r="F3" t="inlineStr">
        <is>
          <t>SRC_0004</t>
        </is>
      </c>
      <c r="G3" t="inlineStr">
        <is>
          <t>2026-02-11</t>
        </is>
      </c>
      <c r="H3" t="inlineStr">
        <is>
          <t>CURRENT_2026-02</t>
        </is>
      </c>
    </row>
    <row r="4">
      <c r="A4" t="inlineStr">
        <is>
          <t>ATT_0003</t>
        </is>
      </c>
      <c r="B4" t="inlineStr">
        <is>
          <t>Skill Tier</t>
        </is>
      </c>
      <c r="C4" t="inlineStr">
        <is>
          <t>Utility</t>
        </is>
      </c>
      <c r="D4" t="inlineStr">
        <is>
          <t>flat</t>
        </is>
      </c>
      <c r="E4" t="inlineStr">
        <is>
          <t>Core attribute (tier)</t>
        </is>
      </c>
      <c r="F4" t="inlineStr">
        <is>
          <t>SRC_0004</t>
        </is>
      </c>
      <c r="G4" t="inlineStr">
        <is>
          <t>2026-02-11</t>
        </is>
      </c>
      <c r="H4" t="inlineStr">
        <is>
          <t>CURRENT_2026-02</t>
        </is>
      </c>
    </row>
    <row r="5">
      <c r="A5" t="inlineStr">
        <is>
          <t>ATT_0010</t>
        </is>
      </c>
      <c r="B5" t="inlineStr">
        <is>
          <t>Critical Hit Chance</t>
        </is>
      </c>
      <c r="C5" t="inlineStr">
        <is>
          <t>Offensive</t>
        </is>
      </c>
      <c r="D5" t="inlineStr">
        <is>
          <t>%</t>
        </is>
      </c>
      <c r="E5" t="inlineStr">
        <is>
          <t>Minor attribute</t>
        </is>
      </c>
      <c r="F5" t="inlineStr">
        <is>
          <t>SRC_0004</t>
        </is>
      </c>
      <c r="G5" t="inlineStr">
        <is>
          <t>2026-02-11</t>
        </is>
      </c>
      <c r="H5" t="inlineStr">
        <is>
          <t>CURRENT_2026-02</t>
        </is>
      </c>
    </row>
    <row r="6">
      <c r="A6" t="inlineStr">
        <is>
          <t>ATT_0011</t>
        </is>
      </c>
      <c r="B6" t="inlineStr">
        <is>
          <t>Critical Hit Damage</t>
        </is>
      </c>
      <c r="C6" t="inlineStr">
        <is>
          <t>Offensive</t>
        </is>
      </c>
      <c r="D6" t="inlineStr">
        <is>
          <t>%</t>
        </is>
      </c>
      <c r="E6" t="inlineStr">
        <is>
          <t>Minor attribute</t>
        </is>
      </c>
      <c r="F6" t="inlineStr">
        <is>
          <t>SRC_0004</t>
        </is>
      </c>
      <c r="G6" t="inlineStr">
        <is>
          <t>2026-02-11</t>
        </is>
      </c>
      <c r="H6" t="inlineStr">
        <is>
          <t>CURRENT_2026-02</t>
        </is>
      </c>
    </row>
    <row r="7">
      <c r="A7" t="inlineStr">
        <is>
          <t>ATT_0012</t>
        </is>
      </c>
      <c r="B7" t="inlineStr">
        <is>
          <t>Headshot Damage</t>
        </is>
      </c>
      <c r="C7" t="inlineStr">
        <is>
          <t>Offensive</t>
        </is>
      </c>
      <c r="D7" t="inlineStr">
        <is>
          <t>%</t>
        </is>
      </c>
      <c r="E7" t="inlineStr">
        <is>
          <t>Minor attribute</t>
        </is>
      </c>
      <c r="F7" t="inlineStr">
        <is>
          <t>SRC_0004</t>
        </is>
      </c>
      <c r="G7" t="inlineStr">
        <is>
          <t>2026-02-11</t>
        </is>
      </c>
      <c r="H7" t="inlineStr">
        <is>
          <t>CURRENT_2026-02</t>
        </is>
      </c>
    </row>
    <row r="8">
      <c r="A8" t="inlineStr">
        <is>
          <t>ATT_0013</t>
        </is>
      </c>
      <c r="B8" t="inlineStr">
        <is>
          <t>Weapon Handling</t>
        </is>
      </c>
      <c r="C8" t="inlineStr">
        <is>
          <t>Offensive</t>
        </is>
      </c>
      <c r="D8" t="inlineStr">
        <is>
          <t>%</t>
        </is>
      </c>
      <c r="E8" t="inlineStr">
        <is>
          <t>Minor attribute</t>
        </is>
      </c>
      <c r="F8" t="inlineStr">
        <is>
          <t>SRC_0004</t>
        </is>
      </c>
      <c r="G8" t="inlineStr">
        <is>
          <t>2026-02-11</t>
        </is>
      </c>
      <c r="H8" t="inlineStr">
        <is>
          <t>CURRENT_2026-02</t>
        </is>
      </c>
    </row>
    <row r="9">
      <c r="A9" t="inlineStr">
        <is>
          <t>ATT_0020</t>
        </is>
      </c>
      <c r="B9" t="inlineStr">
        <is>
          <t>Health</t>
        </is>
      </c>
      <c r="C9" t="inlineStr">
        <is>
          <t>Defensive</t>
        </is>
      </c>
      <c r="D9" t="inlineStr">
        <is>
          <t>flat</t>
        </is>
      </c>
      <c r="E9" t="inlineStr">
        <is>
          <t>Minor attribute</t>
        </is>
      </c>
      <c r="F9" t="inlineStr">
        <is>
          <t>SRC_0004</t>
        </is>
      </c>
      <c r="G9" t="inlineStr">
        <is>
          <t>2026-02-11</t>
        </is>
      </c>
      <c r="H9" t="inlineStr">
        <is>
          <t>CURRENT_2026-02</t>
        </is>
      </c>
    </row>
    <row r="10">
      <c r="A10" t="inlineStr">
        <is>
          <t>ATT_0021</t>
        </is>
      </c>
      <c r="B10" t="inlineStr">
        <is>
          <t>Armor Regeneration</t>
        </is>
      </c>
      <c r="C10" t="inlineStr">
        <is>
          <t>Defensive</t>
        </is>
      </c>
      <c r="D10" t="inlineStr">
        <is>
          <t>flat</t>
        </is>
      </c>
      <c r="E10" t="inlineStr">
        <is>
          <t>Minor attribute (per second)</t>
        </is>
      </c>
      <c r="F10" t="inlineStr">
        <is>
          <t>SRC_0004</t>
        </is>
      </c>
      <c r="G10" t="inlineStr">
        <is>
          <t>2026-02-11</t>
        </is>
      </c>
      <c r="H10" t="inlineStr">
        <is>
          <t>CURRENT_2026-02</t>
        </is>
      </c>
    </row>
    <row r="11">
      <c r="A11" t="inlineStr">
        <is>
          <t>ATT_0022</t>
        </is>
      </c>
      <c r="B11" t="inlineStr">
        <is>
          <t>Hazard Protection</t>
        </is>
      </c>
      <c r="C11" t="inlineStr">
        <is>
          <t>Defensive</t>
        </is>
      </c>
      <c r="D11" t="inlineStr">
        <is>
          <t>%</t>
        </is>
      </c>
      <c r="E11" t="inlineStr">
        <is>
          <t>Minor attribute</t>
        </is>
      </c>
      <c r="F11" t="inlineStr">
        <is>
          <t>SRC_0004</t>
        </is>
      </c>
      <c r="G11" t="inlineStr">
        <is>
          <t>2026-02-11</t>
        </is>
      </c>
      <c r="H11" t="inlineStr">
        <is>
          <t>CURRENT_2026-02</t>
        </is>
      </c>
    </row>
    <row r="12">
      <c r="A12" t="inlineStr">
        <is>
          <t>ATT_0023</t>
        </is>
      </c>
      <c r="B12" t="inlineStr">
        <is>
          <t>Explosive Resistance</t>
        </is>
      </c>
      <c r="C12" t="inlineStr">
        <is>
          <t>Defensive</t>
        </is>
      </c>
      <c r="D12" t="inlineStr">
        <is>
          <t>%</t>
        </is>
      </c>
      <c r="E12" t="inlineStr">
        <is>
          <t>Minor attribute</t>
        </is>
      </c>
      <c r="F12" t="inlineStr">
        <is>
          <t>SRC_0004</t>
        </is>
      </c>
      <c r="G12" t="inlineStr">
        <is>
          <t>2026-02-11</t>
        </is>
      </c>
      <c r="H12" t="inlineStr">
        <is>
          <t>CURRENT_2026-02</t>
        </is>
      </c>
    </row>
    <row r="13">
      <c r="A13" t="inlineStr">
        <is>
          <t>ATT_0030</t>
        </is>
      </c>
      <c r="B13" t="inlineStr">
        <is>
          <t>Skill Damage</t>
        </is>
      </c>
      <c r="C13" t="inlineStr">
        <is>
          <t>Utility</t>
        </is>
      </c>
      <c r="D13" t="inlineStr">
        <is>
          <t>%</t>
        </is>
      </c>
      <c r="E13" t="inlineStr">
        <is>
          <t>Minor attribute</t>
        </is>
      </c>
      <c r="F13" t="inlineStr">
        <is>
          <t>SRC_0004</t>
        </is>
      </c>
      <c r="G13" t="inlineStr">
        <is>
          <t>2026-02-11</t>
        </is>
      </c>
      <c r="H13" t="inlineStr">
        <is>
          <t>CURRENT_2026-02</t>
        </is>
      </c>
    </row>
    <row r="14">
      <c r="A14" t="inlineStr">
        <is>
          <t>ATT_0031</t>
        </is>
      </c>
      <c r="B14" t="inlineStr">
        <is>
          <t>Skill Haste</t>
        </is>
      </c>
      <c r="C14" t="inlineStr">
        <is>
          <t>Utility</t>
        </is>
      </c>
      <c r="D14" t="inlineStr">
        <is>
          <t>%</t>
        </is>
      </c>
      <c r="E14" t="inlineStr">
        <is>
          <t>Minor attribute</t>
        </is>
      </c>
      <c r="F14" t="inlineStr">
        <is>
          <t>SRC_0004</t>
        </is>
      </c>
      <c r="G14" t="inlineStr">
        <is>
          <t>2026-02-11</t>
        </is>
      </c>
      <c r="H14" t="inlineStr">
        <is>
          <t>CURRENT_2026-02</t>
        </is>
      </c>
    </row>
    <row r="15">
      <c r="A15" t="inlineStr">
        <is>
          <t>ATT_0032</t>
        </is>
      </c>
      <c r="B15" t="inlineStr">
        <is>
          <t>Repair Skills</t>
        </is>
      </c>
      <c r="C15" t="inlineStr">
        <is>
          <t>Utility</t>
        </is>
      </c>
      <c r="D15" t="inlineStr">
        <is>
          <t>%</t>
        </is>
      </c>
      <c r="E15" t="inlineStr">
        <is>
          <t>Minor attribute</t>
        </is>
      </c>
      <c r="F15" t="inlineStr">
        <is>
          <t>SRC_0004</t>
        </is>
      </c>
      <c r="G15" t="inlineStr">
        <is>
          <t>2026-02-11</t>
        </is>
      </c>
      <c r="H15" t="inlineStr">
        <is>
          <t>CURRENT_2026-02</t>
        </is>
      </c>
    </row>
    <row r="16">
      <c r="A16" t="inlineStr">
        <is>
          <t>ATT_0033</t>
        </is>
      </c>
      <c r="B16" t="inlineStr">
        <is>
          <t>Status Effects</t>
        </is>
      </c>
      <c r="C16" t="inlineStr">
        <is>
          <t>Utility</t>
        </is>
      </c>
      <c r="D16" t="inlineStr">
        <is>
          <t>%</t>
        </is>
      </c>
      <c r="E16" t="inlineStr">
        <is>
          <t>Minor attribute</t>
        </is>
      </c>
      <c r="F16" t="inlineStr">
        <is>
          <t>SRC_0004</t>
        </is>
      </c>
      <c r="G16" t="inlineStr">
        <is>
          <t>2026-02-11</t>
        </is>
      </c>
      <c r="H16" t="inlineStr">
        <is>
          <t>CURRENT_2026-02</t>
        </is>
      </c>
    </row>
  </sheetData>
  <autoFilter ref="A1:H1"/>
  <dataValidations count="4">
    <dataValidation sqref="C2:C1000" showDropDown="1" showInputMessage="0" showErrorMessage="0" allowBlank="1" type="list">
      <formula1>=AttributeCategoryList</formula1>
    </dataValidation>
    <dataValidation sqref="D2:D1000" showDropDown="1" showInputMessage="0" showErrorMessage="0" allowBlank="1" type="list">
      <formula1>=UnitList</formula1>
    </dataValidation>
    <dataValidation sqref="F2:F1000" showDropDown="1" showInputMessage="0" showErrorMessage="0" allowBlank="1" type="list">
      <formula1>=SourceIdList</formula1>
    </dataValidation>
    <dataValidation sqref="H2:H1000" showDropDown="1" showInputMessage="0" showErrorMessage="0" allowBlank="1" type="list">
      <formula1>=PatchVersionList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FE2F3"/>
    <outlinePr summaryBelow="1" summaryRight="1"/>
    <pageSetUpPr/>
  </sheetPr>
  <dimension ref="A1:S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34" customWidth="1" min="13" max="13"/>
    <col width="38" customWidth="1" min="14" max="14"/>
    <col width="16" customWidth="1" min="15" max="15"/>
    <col width="24" customWidth="1" min="16" max="16"/>
    <col width="12" customWidth="1" min="17" max="17"/>
    <col width="14" customWidth="1" min="18" max="18"/>
    <col width="14" customWidth="1" min="19" max="19"/>
  </cols>
  <sheetData>
    <row r="1" ht="28" customHeight="1">
      <c r="A1" s="4" t="inlineStr">
        <is>
          <t>item_id</t>
        </is>
      </c>
      <c r="B1" s="4" t="inlineStr">
        <is>
          <t>name</t>
        </is>
      </c>
      <c r="C1" s="4" t="inlineStr">
        <is>
          <t>slot</t>
        </is>
      </c>
      <c r="D1" s="4" t="inlineStr">
        <is>
          <t>rarity</t>
        </is>
      </c>
      <c r="E1" s="4" t="inlineStr">
        <is>
          <t>brand_id</t>
        </is>
      </c>
      <c r="F1" s="4" t="inlineStr">
        <is>
          <t>set_id</t>
        </is>
      </c>
      <c r="G1" s="4" t="inlineStr">
        <is>
          <t>is_named</t>
        </is>
      </c>
      <c r="H1" s="4" t="inlineStr">
        <is>
          <t>is_exotic</t>
        </is>
      </c>
      <c r="I1" s="4" t="inlineStr">
        <is>
          <t>core_color</t>
        </is>
      </c>
      <c r="J1" s="4" t="inlineStr">
        <is>
          <t>core_count</t>
        </is>
      </c>
      <c r="K1" s="4" t="inlineStr">
        <is>
          <t>mod_slots</t>
        </is>
      </c>
      <c r="L1" s="4" t="inlineStr">
        <is>
          <t>talent_id</t>
        </is>
      </c>
      <c r="M1" s="4" t="inlineStr">
        <is>
          <t>image_url</t>
        </is>
      </c>
      <c r="N1" s="4" t="inlineStr">
        <is>
          <t>wiki_url</t>
        </is>
      </c>
      <c r="O1" s="4" t="inlineStr">
        <is>
          <t>target_loot_ref</t>
        </is>
      </c>
      <c r="P1" s="4" t="inlineStr">
        <is>
          <t>notes</t>
        </is>
      </c>
      <c r="Q1" s="4" t="inlineStr">
        <is>
          <t>source_id</t>
        </is>
      </c>
      <c r="R1" s="4" t="inlineStr">
        <is>
          <t>last_updated</t>
        </is>
      </c>
      <c r="S1" s="4" t="inlineStr">
        <is>
          <t>patch_version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P2" s="5" t="n"/>
      <c r="Q2" s="5" t="n"/>
      <c r="R2" s="5" t="n"/>
      <c r="S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P3" s="5" t="n"/>
      <c r="Q3" s="5" t="n"/>
      <c r="R3" s="5" t="n"/>
      <c r="S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P4" s="5" t="n"/>
      <c r="Q4" s="5" t="n"/>
      <c r="R4" s="5" t="n"/>
      <c r="S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P5" s="5" t="n"/>
      <c r="Q5" s="5" t="n"/>
      <c r="R5" s="5" t="n"/>
      <c r="S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P6" s="5" t="n"/>
      <c r="Q6" s="5" t="n"/>
      <c r="R6" s="5" t="n"/>
      <c r="S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P7" s="5" t="n"/>
      <c r="Q7" s="5" t="n"/>
      <c r="R7" s="5" t="n"/>
      <c r="S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P8" s="5" t="n"/>
      <c r="Q8" s="5" t="n"/>
      <c r="R8" s="5" t="n"/>
      <c r="S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P9" s="5" t="n"/>
      <c r="Q9" s="5" t="n"/>
      <c r="R9" s="5" t="n"/>
      <c r="S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P10" s="5" t="n"/>
      <c r="Q10" s="5" t="n"/>
      <c r="R10" s="5" t="n"/>
      <c r="S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P11" s="5" t="n"/>
      <c r="Q11" s="5" t="n"/>
      <c r="R11" s="5" t="n"/>
      <c r="S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P12" s="5" t="n"/>
      <c r="Q12" s="5" t="n"/>
      <c r="R12" s="5" t="n"/>
      <c r="S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P13" s="5" t="n"/>
      <c r="Q13" s="5" t="n"/>
      <c r="R13" s="5" t="n"/>
      <c r="S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P14" s="5" t="n"/>
      <c r="Q14" s="5" t="n"/>
      <c r="R14" s="5" t="n"/>
      <c r="S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P15" s="5" t="n"/>
      <c r="Q15" s="5" t="n"/>
      <c r="R15" s="5" t="n"/>
      <c r="S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P16" s="5" t="n"/>
      <c r="Q16" s="5" t="n"/>
      <c r="R16" s="5" t="n"/>
      <c r="S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P17" s="5" t="n"/>
      <c r="Q17" s="5" t="n"/>
      <c r="R17" s="5" t="n"/>
      <c r="S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P18" s="5" t="n"/>
      <c r="Q18" s="5" t="n"/>
      <c r="R18" s="5" t="n"/>
      <c r="S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P19" s="5" t="n"/>
      <c r="Q19" s="5" t="n"/>
      <c r="R19" s="5" t="n"/>
      <c r="S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P20" s="5" t="n"/>
      <c r="Q20" s="5" t="n"/>
      <c r="R20" s="5" t="n"/>
      <c r="S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P21" s="5" t="n"/>
      <c r="Q21" s="5" t="n"/>
      <c r="R21" s="5" t="n"/>
      <c r="S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P22" s="5" t="n"/>
      <c r="Q22" s="5" t="n"/>
      <c r="R22" s="5" t="n"/>
      <c r="S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P23" s="5" t="n"/>
      <c r="Q23" s="5" t="n"/>
      <c r="R23" s="5" t="n"/>
      <c r="S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P24" s="5" t="n"/>
      <c r="Q24" s="5" t="n"/>
      <c r="R24" s="5" t="n"/>
      <c r="S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P25" s="5" t="n"/>
      <c r="Q25" s="5" t="n"/>
      <c r="R25" s="5" t="n"/>
      <c r="S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P26" s="5" t="n"/>
      <c r="Q26" s="5" t="n"/>
      <c r="R26" s="5" t="n"/>
      <c r="S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P27" s="5" t="n"/>
      <c r="Q27" s="5" t="n"/>
      <c r="R27" s="5" t="n"/>
      <c r="S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Q28" s="5" t="n"/>
      <c r="R28" s="5" t="n"/>
      <c r="S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Q29" s="5" t="n"/>
      <c r="R29" s="5" t="n"/>
      <c r="S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Q30" s="5" t="n"/>
      <c r="R30" s="5" t="n"/>
      <c r="S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Q31" s="5" t="n"/>
      <c r="R31" s="5" t="n"/>
      <c r="S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Q32" s="5" t="n"/>
      <c r="R32" s="5" t="n"/>
      <c r="S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Q33" s="5" t="n"/>
      <c r="R33" s="5" t="n"/>
      <c r="S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P34" s="5" t="n"/>
      <c r="Q34" s="5" t="n"/>
      <c r="R34" s="5" t="n"/>
      <c r="S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P35" s="5" t="n"/>
      <c r="Q35" s="5" t="n"/>
      <c r="R35" s="5" t="n"/>
      <c r="S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P36" s="5" t="n"/>
      <c r="Q36" s="5" t="n"/>
      <c r="R36" s="5" t="n"/>
      <c r="S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P37" s="5" t="n"/>
      <c r="Q37" s="5" t="n"/>
      <c r="R37" s="5" t="n"/>
      <c r="S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P38" s="5" t="n"/>
      <c r="Q38" s="5" t="n"/>
      <c r="R38" s="5" t="n"/>
      <c r="S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P39" s="5" t="n"/>
      <c r="Q39" s="5" t="n"/>
      <c r="R39" s="5" t="n"/>
      <c r="S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P40" s="5" t="n"/>
      <c r="Q40" s="5" t="n"/>
      <c r="R40" s="5" t="n"/>
      <c r="S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P41" s="5" t="n"/>
      <c r="Q41" s="5" t="n"/>
      <c r="R41" s="5" t="n"/>
      <c r="S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P42" s="5" t="n"/>
      <c r="Q42" s="5" t="n"/>
      <c r="R42" s="5" t="n"/>
      <c r="S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P43" s="5" t="n"/>
      <c r="Q43" s="5" t="n"/>
      <c r="R43" s="5" t="n"/>
      <c r="S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P44" s="5" t="n"/>
      <c r="Q44" s="5" t="n"/>
      <c r="R44" s="5" t="n"/>
      <c r="S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P45" s="5" t="n"/>
      <c r="Q45" s="5" t="n"/>
      <c r="R45" s="5" t="n"/>
      <c r="S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P46" s="5" t="n"/>
      <c r="Q46" s="5" t="n"/>
      <c r="R46" s="5" t="n"/>
      <c r="S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P47" s="5" t="n"/>
      <c r="Q47" s="5" t="n"/>
      <c r="R47" s="5" t="n"/>
      <c r="S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P48" s="5" t="n"/>
      <c r="Q48" s="5" t="n"/>
      <c r="R48" s="5" t="n"/>
      <c r="S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P49" s="5" t="n"/>
      <c r="Q49" s="5" t="n"/>
      <c r="R49" s="5" t="n"/>
      <c r="S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P50" s="5" t="n"/>
      <c r="Q50" s="5" t="n"/>
      <c r="R50" s="5" t="n"/>
      <c r="S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P51" s="5" t="n"/>
      <c r="Q51" s="5" t="n"/>
      <c r="R51" s="5" t="n"/>
      <c r="S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P52" s="5" t="n"/>
      <c r="Q52" s="5" t="n"/>
      <c r="R52" s="5" t="n"/>
      <c r="S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P53" s="5" t="n"/>
      <c r="Q53" s="5" t="n"/>
      <c r="R53" s="5" t="n"/>
      <c r="S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P54" s="5" t="n"/>
      <c r="Q54" s="5" t="n"/>
      <c r="R54" s="5" t="n"/>
      <c r="S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P55" s="5" t="n"/>
      <c r="Q55" s="5" t="n"/>
      <c r="R55" s="5" t="n"/>
      <c r="S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P56" s="5" t="n"/>
      <c r="Q56" s="5" t="n"/>
      <c r="R56" s="5" t="n"/>
      <c r="S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P57" s="5" t="n"/>
      <c r="Q57" s="5" t="n"/>
      <c r="R57" s="5" t="n"/>
      <c r="S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P58" s="5" t="n"/>
      <c r="Q58" s="5" t="n"/>
      <c r="R58" s="5" t="n"/>
      <c r="S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P59" s="5" t="n"/>
      <c r="Q59" s="5" t="n"/>
      <c r="R59" s="5" t="n"/>
      <c r="S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P60" s="5" t="n"/>
      <c r="Q60" s="5" t="n"/>
      <c r="R60" s="5" t="n"/>
      <c r="S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P61" s="5" t="n"/>
      <c r="Q61" s="5" t="n"/>
      <c r="R61" s="5" t="n"/>
      <c r="S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P62" s="5" t="n"/>
      <c r="Q62" s="5" t="n"/>
      <c r="R62" s="5" t="n"/>
      <c r="S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P63" s="5" t="n"/>
      <c r="Q63" s="5" t="n"/>
      <c r="R63" s="5" t="n"/>
      <c r="S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S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S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S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P67" s="5" t="n"/>
      <c r="Q67" s="5" t="n"/>
      <c r="R67" s="5" t="n"/>
      <c r="S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P68" s="5" t="n"/>
      <c r="Q68" s="5" t="n"/>
      <c r="R68" s="5" t="n"/>
      <c r="S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P69" s="5" t="n"/>
      <c r="Q69" s="5" t="n"/>
      <c r="R69" s="5" t="n"/>
      <c r="S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P70" s="5" t="n"/>
      <c r="Q70" s="5" t="n"/>
      <c r="R70" s="5" t="n"/>
      <c r="S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P71" s="5" t="n"/>
      <c r="Q71" s="5" t="n"/>
      <c r="R71" s="5" t="n"/>
      <c r="S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P72" s="5" t="n"/>
      <c r="Q72" s="5" t="n"/>
      <c r="R72" s="5" t="n"/>
      <c r="S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P73" s="5" t="n"/>
      <c r="Q73" s="5" t="n"/>
      <c r="R73" s="5" t="n"/>
      <c r="S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P74" s="5" t="n"/>
      <c r="Q74" s="5" t="n"/>
      <c r="R74" s="5" t="n"/>
      <c r="S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P75" s="5" t="n"/>
      <c r="Q75" s="5" t="n"/>
      <c r="R75" s="5" t="n"/>
      <c r="S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P76" s="5" t="n"/>
      <c r="Q76" s="5" t="n"/>
      <c r="R76" s="5" t="n"/>
      <c r="S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P77" s="5" t="n"/>
      <c r="Q77" s="5" t="n"/>
      <c r="R77" s="5" t="n"/>
      <c r="S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P78" s="5" t="n"/>
      <c r="Q78" s="5" t="n"/>
      <c r="R78" s="5" t="n"/>
      <c r="S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P79" s="5" t="n"/>
      <c r="Q79" s="5" t="n"/>
      <c r="R79" s="5" t="n"/>
      <c r="S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P80" s="5" t="n"/>
      <c r="Q80" s="5" t="n"/>
      <c r="R80" s="5" t="n"/>
      <c r="S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P81" s="5" t="n"/>
      <c r="Q81" s="5" t="n"/>
      <c r="R81" s="5" t="n"/>
      <c r="S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P82" s="5" t="n"/>
      <c r="Q82" s="5" t="n"/>
      <c r="R82" s="5" t="n"/>
      <c r="S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P83" s="5" t="n"/>
      <c r="Q83" s="5" t="n"/>
      <c r="R83" s="5" t="n"/>
      <c r="S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P84" s="5" t="n"/>
      <c r="Q84" s="5" t="n"/>
      <c r="R84" s="5" t="n"/>
      <c r="S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P85" s="5" t="n"/>
      <c r="Q85" s="5" t="n"/>
      <c r="R85" s="5" t="n"/>
      <c r="S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P86" s="5" t="n"/>
      <c r="Q86" s="5" t="n"/>
      <c r="R86" s="5" t="n"/>
      <c r="S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P87" s="5" t="n"/>
      <c r="Q87" s="5" t="n"/>
      <c r="R87" s="5" t="n"/>
      <c r="S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P88" s="5" t="n"/>
      <c r="Q88" s="5" t="n"/>
      <c r="R88" s="5" t="n"/>
      <c r="S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P89" s="5" t="n"/>
      <c r="Q89" s="5" t="n"/>
      <c r="R89" s="5" t="n"/>
      <c r="S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P90" s="5" t="n"/>
      <c r="Q90" s="5" t="n"/>
      <c r="R90" s="5" t="n"/>
      <c r="S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P91" s="5" t="n"/>
      <c r="Q91" s="5" t="n"/>
      <c r="R91" s="5" t="n"/>
      <c r="S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P92" s="5" t="n"/>
      <c r="Q92" s="5" t="n"/>
      <c r="R92" s="5" t="n"/>
      <c r="S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P93" s="5" t="n"/>
      <c r="Q93" s="5" t="n"/>
      <c r="R93" s="5" t="n"/>
      <c r="S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P94" s="5" t="n"/>
      <c r="Q94" s="5" t="n"/>
      <c r="R94" s="5" t="n"/>
      <c r="S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P95" s="5" t="n"/>
      <c r="Q95" s="5" t="n"/>
      <c r="R95" s="5" t="n"/>
      <c r="S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P96" s="5" t="n"/>
      <c r="Q96" s="5" t="n"/>
      <c r="R96" s="5" t="n"/>
      <c r="S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P97" s="5" t="n"/>
      <c r="Q97" s="5" t="n"/>
      <c r="R97" s="5" t="n"/>
      <c r="S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P98" s="5" t="n"/>
      <c r="Q98" s="5" t="n"/>
      <c r="R98" s="5" t="n"/>
      <c r="S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P99" s="5" t="n"/>
      <c r="Q99" s="5" t="n"/>
      <c r="R99" s="5" t="n"/>
      <c r="S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P100" s="5" t="n"/>
      <c r="Q100" s="5" t="n"/>
      <c r="R100" s="5" t="n"/>
      <c r="S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P101" s="5" t="n"/>
      <c r="Q101" s="5" t="n"/>
      <c r="R101" s="5" t="n"/>
      <c r="S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P102" s="5" t="n"/>
      <c r="Q102" s="5" t="n"/>
      <c r="R102" s="5" t="n"/>
      <c r="S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P103" s="5" t="n"/>
      <c r="Q103" s="5" t="n"/>
      <c r="R103" s="5" t="n"/>
      <c r="S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P104" s="5" t="n"/>
      <c r="Q104" s="5" t="n"/>
      <c r="R104" s="5" t="n"/>
      <c r="S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P105" s="5" t="n"/>
      <c r="Q105" s="5" t="n"/>
      <c r="R105" s="5" t="n"/>
      <c r="S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P106" s="5" t="n"/>
      <c r="Q106" s="5" t="n"/>
      <c r="R106" s="5" t="n"/>
      <c r="S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P107" s="5" t="n"/>
      <c r="Q107" s="5" t="n"/>
      <c r="R107" s="5" t="n"/>
      <c r="S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P108" s="5" t="n"/>
      <c r="Q108" s="5" t="n"/>
      <c r="R108" s="5" t="n"/>
      <c r="S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P109" s="5" t="n"/>
      <c r="Q109" s="5" t="n"/>
      <c r="R109" s="5" t="n"/>
      <c r="S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P110" s="5" t="n"/>
      <c r="Q110" s="5" t="n"/>
      <c r="R110" s="5" t="n"/>
      <c r="S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P111" s="5" t="n"/>
      <c r="Q111" s="5" t="n"/>
      <c r="R111" s="5" t="n"/>
      <c r="S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P112" s="5" t="n"/>
      <c r="Q112" s="5" t="n"/>
      <c r="R112" s="5" t="n"/>
      <c r="S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P113" s="5" t="n"/>
      <c r="Q113" s="5" t="n"/>
      <c r="R113" s="5" t="n"/>
      <c r="S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P114" s="5" t="n"/>
      <c r="Q114" s="5" t="n"/>
      <c r="R114" s="5" t="n"/>
      <c r="S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P115" s="5" t="n"/>
      <c r="Q115" s="5" t="n"/>
      <c r="R115" s="5" t="n"/>
      <c r="S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P116" s="5" t="n"/>
      <c r="Q116" s="5" t="n"/>
      <c r="R116" s="5" t="n"/>
      <c r="S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P117" s="5" t="n"/>
      <c r="Q117" s="5" t="n"/>
      <c r="R117" s="5" t="n"/>
      <c r="S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P118" s="5" t="n"/>
      <c r="Q118" s="5" t="n"/>
      <c r="R118" s="5" t="n"/>
      <c r="S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P119" s="5" t="n"/>
      <c r="Q119" s="5" t="n"/>
      <c r="R119" s="5" t="n"/>
      <c r="S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P120" s="5" t="n"/>
      <c r="Q120" s="5" t="n"/>
      <c r="R120" s="5" t="n"/>
      <c r="S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P121" s="5" t="n"/>
      <c r="Q121" s="5" t="n"/>
      <c r="R121" s="5" t="n"/>
      <c r="S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P122" s="5" t="n"/>
      <c r="Q122" s="5" t="n"/>
      <c r="R122" s="5" t="n"/>
      <c r="S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P123" s="5" t="n"/>
      <c r="Q123" s="5" t="n"/>
      <c r="R123" s="5" t="n"/>
      <c r="S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P124" s="5" t="n"/>
      <c r="Q124" s="5" t="n"/>
      <c r="R124" s="5" t="n"/>
      <c r="S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P125" s="5" t="n"/>
      <c r="Q125" s="5" t="n"/>
      <c r="R125" s="5" t="n"/>
      <c r="S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P126" s="5" t="n"/>
      <c r="Q126" s="5" t="n"/>
      <c r="R126" s="5" t="n"/>
      <c r="S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P127" s="5" t="n"/>
      <c r="Q127" s="5" t="n"/>
      <c r="R127" s="5" t="n"/>
      <c r="S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P128" s="5" t="n"/>
      <c r="Q128" s="5" t="n"/>
      <c r="R128" s="5" t="n"/>
      <c r="S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P129" s="5" t="n"/>
      <c r="Q129" s="5" t="n"/>
      <c r="R129" s="5" t="n"/>
      <c r="S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P130" s="5" t="n"/>
      <c r="Q130" s="5" t="n"/>
      <c r="R130" s="5" t="n"/>
      <c r="S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P131" s="5" t="n"/>
      <c r="Q131" s="5" t="n"/>
      <c r="R131" s="5" t="n"/>
      <c r="S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P132" s="5" t="n"/>
      <c r="Q132" s="5" t="n"/>
      <c r="R132" s="5" t="n"/>
      <c r="S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P133" s="5" t="n"/>
      <c r="Q133" s="5" t="n"/>
      <c r="R133" s="5" t="n"/>
      <c r="S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P134" s="5" t="n"/>
      <c r="Q134" s="5" t="n"/>
      <c r="R134" s="5" t="n"/>
      <c r="S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P135" s="5" t="n"/>
      <c r="Q135" s="5" t="n"/>
      <c r="R135" s="5" t="n"/>
      <c r="S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P136" s="5" t="n"/>
      <c r="Q136" s="5" t="n"/>
      <c r="R136" s="5" t="n"/>
      <c r="S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P137" s="5" t="n"/>
      <c r="Q137" s="5" t="n"/>
      <c r="R137" s="5" t="n"/>
      <c r="S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P138" s="5" t="n"/>
      <c r="Q138" s="5" t="n"/>
      <c r="R138" s="5" t="n"/>
      <c r="S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P139" s="5" t="n"/>
      <c r="Q139" s="5" t="n"/>
      <c r="R139" s="5" t="n"/>
      <c r="S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P140" s="5" t="n"/>
      <c r="Q140" s="5" t="n"/>
      <c r="R140" s="5" t="n"/>
      <c r="S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P141" s="5" t="n"/>
      <c r="Q141" s="5" t="n"/>
      <c r="R141" s="5" t="n"/>
      <c r="S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P142" s="5" t="n"/>
      <c r="Q142" s="5" t="n"/>
      <c r="R142" s="5" t="n"/>
      <c r="S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P143" s="5" t="n"/>
      <c r="Q143" s="5" t="n"/>
      <c r="R143" s="5" t="n"/>
      <c r="S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P144" s="5" t="n"/>
      <c r="Q144" s="5" t="n"/>
      <c r="R144" s="5" t="n"/>
      <c r="S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P145" s="5" t="n"/>
      <c r="Q145" s="5" t="n"/>
      <c r="R145" s="5" t="n"/>
      <c r="S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P146" s="5" t="n"/>
      <c r="Q146" s="5" t="n"/>
      <c r="R146" s="5" t="n"/>
      <c r="S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P147" s="5" t="n"/>
      <c r="Q147" s="5" t="n"/>
      <c r="R147" s="5" t="n"/>
      <c r="S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P148" s="5" t="n"/>
      <c r="Q148" s="5" t="n"/>
      <c r="R148" s="5" t="n"/>
      <c r="S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P149" s="5" t="n"/>
      <c r="Q149" s="5" t="n"/>
      <c r="R149" s="5" t="n"/>
      <c r="S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P150" s="5" t="n"/>
      <c r="Q150" s="5" t="n"/>
      <c r="R150" s="5" t="n"/>
      <c r="S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P151" s="5" t="n"/>
      <c r="Q151" s="5" t="n"/>
      <c r="R151" s="5" t="n"/>
      <c r="S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P152" s="5" t="n"/>
      <c r="Q152" s="5" t="n"/>
      <c r="R152" s="5" t="n"/>
      <c r="S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P153" s="5" t="n"/>
      <c r="Q153" s="5" t="n"/>
      <c r="R153" s="5" t="n"/>
      <c r="S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P154" s="5" t="n"/>
      <c r="Q154" s="5" t="n"/>
      <c r="R154" s="5" t="n"/>
      <c r="S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P155" s="5" t="n"/>
      <c r="Q155" s="5" t="n"/>
      <c r="R155" s="5" t="n"/>
      <c r="S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P156" s="5" t="n"/>
      <c r="Q156" s="5" t="n"/>
      <c r="R156" s="5" t="n"/>
      <c r="S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P157" s="5" t="n"/>
      <c r="Q157" s="5" t="n"/>
      <c r="R157" s="5" t="n"/>
      <c r="S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P158" s="5" t="n"/>
      <c r="Q158" s="5" t="n"/>
      <c r="R158" s="5" t="n"/>
      <c r="S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P159" s="5" t="n"/>
      <c r="Q159" s="5" t="n"/>
      <c r="R159" s="5" t="n"/>
      <c r="S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P160" s="5" t="n"/>
      <c r="Q160" s="5" t="n"/>
      <c r="R160" s="5" t="n"/>
      <c r="S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P161" s="5" t="n"/>
      <c r="Q161" s="5" t="n"/>
      <c r="R161" s="5" t="n"/>
      <c r="S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P162" s="5" t="n"/>
      <c r="Q162" s="5" t="n"/>
      <c r="R162" s="5" t="n"/>
      <c r="S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P163" s="5" t="n"/>
      <c r="Q163" s="5" t="n"/>
      <c r="R163" s="5" t="n"/>
      <c r="S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P164" s="5" t="n"/>
      <c r="Q164" s="5" t="n"/>
      <c r="R164" s="5" t="n"/>
      <c r="S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P165" s="5" t="n"/>
      <c r="Q165" s="5" t="n"/>
      <c r="R165" s="5" t="n"/>
      <c r="S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P166" s="5" t="n"/>
      <c r="Q166" s="5" t="n"/>
      <c r="R166" s="5" t="n"/>
      <c r="S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P167" s="5" t="n"/>
      <c r="Q167" s="5" t="n"/>
      <c r="R167" s="5" t="n"/>
      <c r="S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P168" s="5" t="n"/>
      <c r="Q168" s="5" t="n"/>
      <c r="R168" s="5" t="n"/>
      <c r="S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P169" s="5" t="n"/>
      <c r="Q169" s="5" t="n"/>
      <c r="R169" s="5" t="n"/>
      <c r="S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P170" s="5" t="n"/>
      <c r="Q170" s="5" t="n"/>
      <c r="R170" s="5" t="n"/>
      <c r="S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P171" s="5" t="n"/>
      <c r="Q171" s="5" t="n"/>
      <c r="R171" s="5" t="n"/>
      <c r="S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P172" s="5" t="n"/>
      <c r="Q172" s="5" t="n"/>
      <c r="R172" s="5" t="n"/>
      <c r="S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P173" s="5" t="n"/>
      <c r="Q173" s="5" t="n"/>
      <c r="R173" s="5" t="n"/>
      <c r="S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P174" s="5" t="n"/>
      <c r="Q174" s="5" t="n"/>
      <c r="R174" s="5" t="n"/>
      <c r="S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P175" s="5" t="n"/>
      <c r="Q175" s="5" t="n"/>
      <c r="R175" s="5" t="n"/>
      <c r="S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P176" s="5" t="n"/>
      <c r="Q176" s="5" t="n"/>
      <c r="R176" s="5" t="n"/>
      <c r="S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P177" s="5" t="n"/>
      <c r="Q177" s="5" t="n"/>
      <c r="R177" s="5" t="n"/>
      <c r="S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P178" s="5" t="n"/>
      <c r="Q178" s="5" t="n"/>
      <c r="R178" s="5" t="n"/>
      <c r="S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P179" s="5" t="n"/>
      <c r="Q179" s="5" t="n"/>
      <c r="R179" s="5" t="n"/>
      <c r="S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P180" s="5" t="n"/>
      <c r="Q180" s="5" t="n"/>
      <c r="R180" s="5" t="n"/>
      <c r="S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P181" s="5" t="n"/>
      <c r="Q181" s="5" t="n"/>
      <c r="R181" s="5" t="n"/>
      <c r="S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P182" s="5" t="n"/>
      <c r="Q182" s="5" t="n"/>
      <c r="R182" s="5" t="n"/>
      <c r="S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P183" s="5" t="n"/>
      <c r="Q183" s="5" t="n"/>
      <c r="R183" s="5" t="n"/>
      <c r="S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P184" s="5" t="n"/>
      <c r="Q184" s="5" t="n"/>
      <c r="R184" s="5" t="n"/>
      <c r="S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P185" s="5" t="n"/>
      <c r="Q185" s="5" t="n"/>
      <c r="R185" s="5" t="n"/>
      <c r="S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P186" s="5" t="n"/>
      <c r="Q186" s="5" t="n"/>
      <c r="R186" s="5" t="n"/>
      <c r="S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P187" s="5" t="n"/>
      <c r="Q187" s="5" t="n"/>
      <c r="R187" s="5" t="n"/>
      <c r="S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P188" s="5" t="n"/>
      <c r="Q188" s="5" t="n"/>
      <c r="R188" s="5" t="n"/>
      <c r="S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P189" s="5" t="n"/>
      <c r="Q189" s="5" t="n"/>
      <c r="R189" s="5" t="n"/>
      <c r="S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P190" s="5" t="n"/>
      <c r="Q190" s="5" t="n"/>
      <c r="R190" s="5" t="n"/>
      <c r="S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P191" s="5" t="n"/>
      <c r="Q191" s="5" t="n"/>
      <c r="R191" s="5" t="n"/>
      <c r="S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P192" s="5" t="n"/>
      <c r="Q192" s="5" t="n"/>
      <c r="R192" s="5" t="n"/>
      <c r="S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P193" s="5" t="n"/>
      <c r="Q193" s="5" t="n"/>
      <c r="R193" s="5" t="n"/>
      <c r="S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P194" s="5" t="n"/>
      <c r="Q194" s="5" t="n"/>
      <c r="R194" s="5" t="n"/>
      <c r="S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P195" s="5" t="n"/>
      <c r="Q195" s="5" t="n"/>
      <c r="R195" s="5" t="n"/>
      <c r="S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P196" s="5" t="n"/>
      <c r="Q196" s="5" t="n"/>
      <c r="R196" s="5" t="n"/>
      <c r="S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P197" s="5" t="n"/>
      <c r="Q197" s="5" t="n"/>
      <c r="R197" s="5" t="n"/>
      <c r="S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P198" s="5" t="n"/>
      <c r="Q198" s="5" t="n"/>
      <c r="R198" s="5" t="n"/>
      <c r="S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P199" s="5" t="n"/>
      <c r="Q199" s="5" t="n"/>
      <c r="R199" s="5" t="n"/>
      <c r="S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P200" s="5" t="n"/>
      <c r="Q200" s="5" t="n"/>
      <c r="R200" s="5" t="n"/>
      <c r="S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P201" s="5" t="n"/>
      <c r="Q201" s="5" t="n"/>
      <c r="R201" s="5" t="n"/>
      <c r="S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P202" s="5" t="n"/>
      <c r="Q202" s="5" t="n"/>
      <c r="R202" s="5" t="n"/>
      <c r="S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P203" s="5" t="n"/>
      <c r="Q203" s="5" t="n"/>
      <c r="R203" s="5" t="n"/>
      <c r="S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P204" s="5" t="n"/>
      <c r="Q204" s="5" t="n"/>
      <c r="R204" s="5" t="n"/>
      <c r="S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P205" s="5" t="n"/>
      <c r="Q205" s="5" t="n"/>
      <c r="R205" s="5" t="n"/>
      <c r="S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P206" s="5" t="n"/>
      <c r="Q206" s="5" t="n"/>
      <c r="R206" s="5" t="n"/>
      <c r="S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P207" s="5" t="n"/>
      <c r="Q207" s="5" t="n"/>
      <c r="R207" s="5" t="n"/>
      <c r="S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P208" s="5" t="n"/>
      <c r="Q208" s="5" t="n"/>
      <c r="R208" s="5" t="n"/>
      <c r="S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P209" s="5" t="n"/>
      <c r="Q209" s="5" t="n"/>
      <c r="R209" s="5" t="n"/>
      <c r="S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P210" s="5" t="n"/>
      <c r="Q210" s="5" t="n"/>
      <c r="R210" s="5" t="n"/>
      <c r="S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P211" s="5" t="n"/>
      <c r="Q211" s="5" t="n"/>
      <c r="R211" s="5" t="n"/>
      <c r="S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P212" s="5" t="n"/>
      <c r="Q212" s="5" t="n"/>
      <c r="R212" s="5" t="n"/>
      <c r="S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P213" s="5" t="n"/>
      <c r="Q213" s="5" t="n"/>
      <c r="R213" s="5" t="n"/>
      <c r="S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P214" s="5" t="n"/>
      <c r="Q214" s="5" t="n"/>
      <c r="R214" s="5" t="n"/>
      <c r="S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P215" s="5" t="n"/>
      <c r="Q215" s="5" t="n"/>
      <c r="R215" s="5" t="n"/>
      <c r="S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P216" s="5" t="n"/>
      <c r="Q216" s="5" t="n"/>
      <c r="R216" s="5" t="n"/>
      <c r="S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P217" s="5" t="n"/>
      <c r="Q217" s="5" t="n"/>
      <c r="R217" s="5" t="n"/>
      <c r="S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P218" s="5" t="n"/>
      <c r="Q218" s="5" t="n"/>
      <c r="R218" s="5" t="n"/>
      <c r="S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P219" s="5" t="n"/>
      <c r="Q219" s="5" t="n"/>
      <c r="R219" s="5" t="n"/>
      <c r="S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P220" s="5" t="n"/>
      <c r="Q220" s="5" t="n"/>
      <c r="R220" s="5" t="n"/>
      <c r="S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P221" s="5" t="n"/>
      <c r="Q221" s="5" t="n"/>
      <c r="R221" s="5" t="n"/>
      <c r="S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P222" s="5" t="n"/>
      <c r="Q222" s="5" t="n"/>
      <c r="R222" s="5" t="n"/>
      <c r="S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P223" s="5" t="n"/>
      <c r="Q223" s="5" t="n"/>
      <c r="R223" s="5" t="n"/>
      <c r="S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P224" s="5" t="n"/>
      <c r="Q224" s="5" t="n"/>
      <c r="R224" s="5" t="n"/>
      <c r="S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P225" s="5" t="n"/>
      <c r="Q225" s="5" t="n"/>
      <c r="R225" s="5" t="n"/>
      <c r="S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P226" s="5" t="n"/>
      <c r="Q226" s="5" t="n"/>
      <c r="R226" s="5" t="n"/>
      <c r="S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P227" s="5" t="n"/>
      <c r="Q227" s="5" t="n"/>
      <c r="R227" s="5" t="n"/>
      <c r="S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P228" s="5" t="n"/>
      <c r="Q228" s="5" t="n"/>
      <c r="R228" s="5" t="n"/>
      <c r="S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P229" s="5" t="n"/>
      <c r="Q229" s="5" t="n"/>
      <c r="R229" s="5" t="n"/>
      <c r="S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P230" s="5" t="n"/>
      <c r="Q230" s="5" t="n"/>
      <c r="R230" s="5" t="n"/>
      <c r="S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P231" s="5" t="n"/>
      <c r="Q231" s="5" t="n"/>
      <c r="R231" s="5" t="n"/>
      <c r="S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P232" s="5" t="n"/>
      <c r="Q232" s="5" t="n"/>
      <c r="R232" s="5" t="n"/>
      <c r="S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P233" s="5" t="n"/>
      <c r="Q233" s="5" t="n"/>
      <c r="R233" s="5" t="n"/>
      <c r="S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P234" s="5" t="n"/>
      <c r="Q234" s="5" t="n"/>
      <c r="R234" s="5" t="n"/>
      <c r="S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P235" s="5" t="n"/>
      <c r="Q235" s="5" t="n"/>
      <c r="R235" s="5" t="n"/>
      <c r="S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P236" s="5" t="n"/>
      <c r="Q236" s="5" t="n"/>
      <c r="R236" s="5" t="n"/>
      <c r="S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P237" s="5" t="n"/>
      <c r="Q237" s="5" t="n"/>
      <c r="R237" s="5" t="n"/>
      <c r="S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P238" s="5" t="n"/>
      <c r="Q238" s="5" t="n"/>
      <c r="R238" s="5" t="n"/>
      <c r="S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P239" s="5" t="n"/>
      <c r="Q239" s="5" t="n"/>
      <c r="R239" s="5" t="n"/>
      <c r="S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P240" s="5" t="n"/>
      <c r="Q240" s="5" t="n"/>
      <c r="R240" s="5" t="n"/>
      <c r="S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P241" s="5" t="n"/>
      <c r="Q241" s="5" t="n"/>
      <c r="R241" s="5" t="n"/>
      <c r="S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P242" s="5" t="n"/>
      <c r="Q242" s="5" t="n"/>
      <c r="R242" s="5" t="n"/>
      <c r="S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P243" s="5" t="n"/>
      <c r="Q243" s="5" t="n"/>
      <c r="R243" s="5" t="n"/>
      <c r="S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P244" s="5" t="n"/>
      <c r="Q244" s="5" t="n"/>
      <c r="R244" s="5" t="n"/>
      <c r="S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P245" s="5" t="n"/>
      <c r="Q245" s="5" t="n"/>
      <c r="R245" s="5" t="n"/>
      <c r="S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P246" s="5" t="n"/>
      <c r="Q246" s="5" t="n"/>
      <c r="R246" s="5" t="n"/>
      <c r="S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P247" s="5" t="n"/>
      <c r="Q247" s="5" t="n"/>
      <c r="R247" s="5" t="n"/>
      <c r="S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P248" s="5" t="n"/>
      <c r="Q248" s="5" t="n"/>
      <c r="R248" s="5" t="n"/>
      <c r="S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P249" s="5" t="n"/>
      <c r="Q249" s="5" t="n"/>
      <c r="R249" s="5" t="n"/>
      <c r="S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P250" s="5" t="n"/>
      <c r="Q250" s="5" t="n"/>
      <c r="R250" s="5" t="n"/>
      <c r="S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P251" s="5" t="n"/>
      <c r="Q251" s="5" t="n"/>
      <c r="R251" s="5" t="n"/>
      <c r="S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P252" s="5" t="n"/>
      <c r="Q252" s="5" t="n"/>
      <c r="R252" s="5" t="n"/>
      <c r="S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P253" s="5" t="n"/>
      <c r="Q253" s="5" t="n"/>
      <c r="R253" s="5" t="n"/>
      <c r="S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P254" s="5" t="n"/>
      <c r="Q254" s="5" t="n"/>
      <c r="R254" s="5" t="n"/>
      <c r="S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P255" s="5" t="n"/>
      <c r="Q255" s="5" t="n"/>
      <c r="R255" s="5" t="n"/>
      <c r="S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P256" s="5" t="n"/>
      <c r="Q256" s="5" t="n"/>
      <c r="R256" s="5" t="n"/>
      <c r="S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P257" s="5" t="n"/>
      <c r="Q257" s="5" t="n"/>
      <c r="R257" s="5" t="n"/>
      <c r="S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P258" s="5" t="n"/>
      <c r="Q258" s="5" t="n"/>
      <c r="R258" s="5" t="n"/>
      <c r="S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P259" s="5" t="n"/>
      <c r="Q259" s="5" t="n"/>
      <c r="R259" s="5" t="n"/>
      <c r="S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P260" s="5" t="n"/>
      <c r="Q260" s="5" t="n"/>
      <c r="R260" s="5" t="n"/>
      <c r="S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P261" s="5" t="n"/>
      <c r="Q261" s="5" t="n"/>
      <c r="R261" s="5" t="n"/>
      <c r="S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P262" s="5" t="n"/>
      <c r="Q262" s="5" t="n"/>
      <c r="R262" s="5" t="n"/>
      <c r="S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P263" s="5" t="n"/>
      <c r="Q263" s="5" t="n"/>
      <c r="R263" s="5" t="n"/>
      <c r="S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P264" s="5" t="n"/>
      <c r="Q264" s="5" t="n"/>
      <c r="R264" s="5" t="n"/>
      <c r="S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P265" s="5" t="n"/>
      <c r="Q265" s="5" t="n"/>
      <c r="R265" s="5" t="n"/>
      <c r="S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P266" s="5" t="n"/>
      <c r="Q266" s="5" t="n"/>
      <c r="R266" s="5" t="n"/>
      <c r="S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P267" s="5" t="n"/>
      <c r="Q267" s="5" t="n"/>
      <c r="R267" s="5" t="n"/>
      <c r="S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P268" s="5" t="n"/>
      <c r="Q268" s="5" t="n"/>
      <c r="R268" s="5" t="n"/>
      <c r="S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P269" s="5" t="n"/>
      <c r="Q269" s="5" t="n"/>
      <c r="R269" s="5" t="n"/>
      <c r="S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P270" s="5" t="n"/>
      <c r="Q270" s="5" t="n"/>
      <c r="R270" s="5" t="n"/>
      <c r="S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P271" s="5" t="n"/>
      <c r="Q271" s="5" t="n"/>
      <c r="R271" s="5" t="n"/>
      <c r="S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P272" s="5" t="n"/>
      <c r="Q272" s="5" t="n"/>
      <c r="R272" s="5" t="n"/>
      <c r="S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P273" s="5" t="n"/>
      <c r="Q273" s="5" t="n"/>
      <c r="R273" s="5" t="n"/>
      <c r="S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P274" s="5" t="n"/>
      <c r="Q274" s="5" t="n"/>
      <c r="R274" s="5" t="n"/>
      <c r="S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P275" s="5" t="n"/>
      <c r="Q275" s="5" t="n"/>
      <c r="R275" s="5" t="n"/>
      <c r="S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P276" s="5" t="n"/>
      <c r="Q276" s="5" t="n"/>
      <c r="R276" s="5" t="n"/>
      <c r="S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P277" s="5" t="n"/>
      <c r="Q277" s="5" t="n"/>
      <c r="R277" s="5" t="n"/>
      <c r="S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P278" s="5" t="n"/>
      <c r="Q278" s="5" t="n"/>
      <c r="R278" s="5" t="n"/>
      <c r="S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P279" s="5" t="n"/>
      <c r="Q279" s="5" t="n"/>
      <c r="R279" s="5" t="n"/>
      <c r="S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P280" s="5" t="n"/>
      <c r="Q280" s="5" t="n"/>
      <c r="R280" s="5" t="n"/>
      <c r="S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P281" s="5" t="n"/>
      <c r="Q281" s="5" t="n"/>
      <c r="R281" s="5" t="n"/>
      <c r="S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P282" s="5" t="n"/>
      <c r="Q282" s="5" t="n"/>
      <c r="R282" s="5" t="n"/>
      <c r="S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P283" s="5" t="n"/>
      <c r="Q283" s="5" t="n"/>
      <c r="R283" s="5" t="n"/>
      <c r="S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P284" s="5" t="n"/>
      <c r="Q284" s="5" t="n"/>
      <c r="R284" s="5" t="n"/>
      <c r="S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P285" s="5" t="n"/>
      <c r="Q285" s="5" t="n"/>
      <c r="R285" s="5" t="n"/>
      <c r="S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P286" s="5" t="n"/>
      <c r="Q286" s="5" t="n"/>
      <c r="R286" s="5" t="n"/>
      <c r="S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P287" s="5" t="n"/>
      <c r="Q287" s="5" t="n"/>
      <c r="R287" s="5" t="n"/>
      <c r="S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P288" s="5" t="n"/>
      <c r="Q288" s="5" t="n"/>
      <c r="R288" s="5" t="n"/>
      <c r="S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P289" s="5" t="n"/>
      <c r="Q289" s="5" t="n"/>
      <c r="R289" s="5" t="n"/>
      <c r="S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P290" s="5" t="n"/>
      <c r="Q290" s="5" t="n"/>
      <c r="R290" s="5" t="n"/>
      <c r="S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P291" s="5" t="n"/>
      <c r="Q291" s="5" t="n"/>
      <c r="R291" s="5" t="n"/>
      <c r="S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P292" s="5" t="n"/>
      <c r="Q292" s="5" t="n"/>
      <c r="R292" s="5" t="n"/>
      <c r="S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P293" s="5" t="n"/>
      <c r="Q293" s="5" t="n"/>
      <c r="R293" s="5" t="n"/>
      <c r="S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P294" s="5" t="n"/>
      <c r="Q294" s="5" t="n"/>
      <c r="R294" s="5" t="n"/>
      <c r="S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P295" s="5" t="n"/>
      <c r="Q295" s="5" t="n"/>
      <c r="R295" s="5" t="n"/>
      <c r="S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P296" s="5" t="n"/>
      <c r="Q296" s="5" t="n"/>
      <c r="R296" s="5" t="n"/>
      <c r="S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P297" s="5" t="n"/>
      <c r="Q297" s="5" t="n"/>
      <c r="R297" s="5" t="n"/>
      <c r="S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P298" s="5" t="n"/>
      <c r="Q298" s="5" t="n"/>
      <c r="R298" s="5" t="n"/>
      <c r="S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P299" s="5" t="n"/>
      <c r="Q299" s="5" t="n"/>
      <c r="R299" s="5" t="n"/>
      <c r="S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P300" s="5" t="n"/>
      <c r="Q300" s="5" t="n"/>
      <c r="R300" s="5" t="n"/>
      <c r="S300" s="5" t="n"/>
    </row>
    <row r="301">
      <c r="A301" t="inlineStr">
        <is>
          <t>ITG_0001</t>
        </is>
      </c>
      <c r="C301" t="inlineStr">
        <is>
          <t>Mask</t>
        </is>
      </c>
      <c r="D301" t="inlineStr">
        <is>
          <t>HighEnd</t>
        </is>
      </c>
      <c r="G301" t="inlineStr">
        <is>
          <t>FALSE</t>
        </is>
      </c>
      <c r="H301" t="inlineStr">
        <is>
          <t>FALSE</t>
        </is>
      </c>
      <c r="I301" t="inlineStr">
        <is>
          <t>Red</t>
        </is>
      </c>
      <c r="J301" t="n">
        <v>1</v>
      </c>
      <c r="K301" t="n">
        <v>0</v>
      </c>
      <c r="O301" t="inlineStr">
        <is>
          <t>Mask</t>
        </is>
      </c>
      <c r="Q301" t="inlineStr">
        <is>
          <t>SRC_0001</t>
        </is>
      </c>
      <c r="S301" t="inlineStr">
        <is>
          <t>TU_??</t>
        </is>
      </c>
    </row>
  </sheetData>
  <autoFilter ref="A1:Q1"/>
  <dataValidations count="10">
    <dataValidation sqref="C2:C1000" showDropDown="0" showInputMessage="0" showErrorMessage="0" allowBlank="1" errorTitle="Valor inválido" error="Selecione um valor da lista." promptTitle="Validação" prompt="Escolha um valor válido." type="list">
      <formula1>=SlotList</formula1>
    </dataValidation>
    <dataValidation sqref="D2:D1000" showDropDown="0" showInputMessage="0" showErrorMessage="0" allowBlank="1" errorTitle="Valor inválido" error="Selecione um valor da lista." promptTitle="Validação" prompt="Escolha um valor válido." type="list">
      <formula1>=RarityList</formula1>
    </dataValidation>
    <dataValidation sqref="E2:E1000" showDropDown="0" showInputMessage="0" showErrorMessage="0" allowBlank="1" errorTitle="Valor inválido" error="Selecione um valor da lista." promptTitle="Validação" prompt="Escolha um valor válido." type="list">
      <formula1>=BrandIdList</formula1>
    </dataValidation>
    <dataValidation sqref="F2:F1000" showDropDown="0" showInputMessage="0" showErrorMessage="0" allowBlank="1" errorTitle="Valor inválido" error="Selecione um valor da lista." promptTitle="Validação" prompt="Escolha um valor válido." type="list">
      <formula1>=GearSetIdList</formula1>
    </dataValidation>
    <dataValidation sqref="G2:G1000" showDropDown="0" showInputMessage="0" showErrorMessage="0" allowBlank="1" errorTitle="Valor inválido" error="Selecione um valor da lista." promptTitle="Validação" prompt="Escolha um valor válido." type="list">
      <formula1>=BoolList</formula1>
    </dataValidation>
    <dataValidation sqref="H2:H1000" showDropDown="0" showInputMessage="0" showErrorMessage="0" allowBlank="1" errorTitle="Valor inválido" error="Selecione um valor da lista." promptTitle="Validação" prompt="Escolha um valor válido." type="list">
      <formula1>=BoolList</formula1>
    </dataValidation>
    <dataValidation sqref="I2:I1000" showDropDown="0" showInputMessage="0" showErrorMessage="0" allowBlank="1" errorTitle="Valor inválido" error="Selecione um valor da lista." promptTitle="Validação" prompt="Escolha um valor válido." type="list">
      <formula1>=CoreColorList</formula1>
    </dataValidation>
    <dataValidation sqref="L2:L1000" showDropDown="0" showInputMessage="0" showErrorMessage="0" allowBlank="1" errorTitle="Valor inválido" error="Selecione um valor da lista." promptTitle="Validação" prompt="Escolha um valor válido." type="list">
      <formula1>=TalentIdList</formula1>
    </dataValidation>
    <dataValidation sqref="Q2:Q1000" showDropDown="0" showInputMessage="0" showErrorMessage="0" allowBlank="1" errorTitle="Valor inválido" error="Selecione um valor da lista." promptTitle="Validação" prompt="Escolha um valor válido." type="list">
      <formula1>=SourceIdList</formula1>
    </dataValidation>
    <dataValidation sqref="S2:S1000" showDropDown="0" showInputMessage="0" showErrorMessage="0" allowBlank="1" errorTitle="Valor inválido" error="Selecione um valor da lista." promptTitle="Validação" prompt="Escolha um valor válido." type="list">
      <formula1>=PatchVersionList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FE2F3"/>
    <outlinePr summaryBelow="1" summaryRight="1"/>
    <pageSetUpPr/>
  </sheetPr>
  <dimension ref="A1:K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30" customWidth="1" min="8" max="8"/>
    <col width="12" customWidth="1" min="9" max="9"/>
    <col width="14" customWidth="1" min="10" max="10"/>
    <col width="14" customWidth="1" min="11" max="11"/>
  </cols>
  <sheetData>
    <row r="1" ht="28" customHeight="1">
      <c r="A1" s="4" t="inlineStr">
        <is>
          <t>rule_id</t>
        </is>
      </c>
      <c r="B1" s="4" t="inlineStr">
        <is>
          <t>item_id</t>
        </is>
      </c>
      <c r="C1" s="4" t="inlineStr">
        <is>
          <t>attr_id</t>
        </is>
      </c>
      <c r="D1" s="4" t="inlineStr">
        <is>
          <t>is_core</t>
        </is>
      </c>
      <c r="E1" s="4" t="inlineStr">
        <is>
          <t>is_minor</t>
        </is>
      </c>
      <c r="F1" s="4" t="inlineStr">
        <is>
          <t>min_value</t>
        </is>
      </c>
      <c r="G1" s="4" t="inlineStr">
        <is>
          <t>max_value</t>
        </is>
      </c>
      <c r="H1" s="4" t="inlineStr">
        <is>
          <t>notes</t>
        </is>
      </c>
      <c r="I1" s="4" t="inlineStr">
        <is>
          <t>source_id</t>
        </is>
      </c>
      <c r="J1" s="4" t="inlineStr">
        <is>
          <t>last_updated</t>
        </is>
      </c>
      <c r="K1" s="4" t="inlineStr">
        <is>
          <t>patch_version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</row>
    <row r="301">
      <c r="A301" t="inlineStr">
        <is>
          <t>RUL_0001</t>
        </is>
      </c>
      <c r="B301" t="inlineStr">
        <is>
          <t>ITG_0001</t>
        </is>
      </c>
      <c r="C301" t="inlineStr">
        <is>
          <t>ATT_0001</t>
        </is>
      </c>
      <c r="D301" t="inlineStr">
        <is>
          <t>FALSE</t>
        </is>
      </c>
      <c r="E301" t="inlineStr">
        <is>
          <t>TRUE</t>
        </is>
      </c>
      <c r="I301" t="inlineStr">
        <is>
          <t>SRC_0001</t>
        </is>
      </c>
      <c r="K301" t="inlineStr">
        <is>
          <t>TU_??</t>
        </is>
      </c>
    </row>
  </sheetData>
  <autoFilter ref="A1:K1"/>
  <dataValidations count="6">
    <dataValidation sqref="B2:B1000" showDropDown="1" showInputMessage="0" showErrorMessage="0" allowBlank="1" type="list">
      <formula1>=GearItemIdList</formula1>
    </dataValidation>
    <dataValidation sqref="C2:C1000" showDropDown="1" showInputMessage="0" showErrorMessage="0" allowBlank="1" type="list">
      <formula1>=AttributeIdList</formula1>
    </dataValidation>
    <dataValidation sqref="D2:D1000" showDropDown="1" showInputMessage="0" showErrorMessage="0" allowBlank="1" type="list">
      <formula1>=BoolList</formula1>
    </dataValidation>
    <dataValidation sqref="E2:E1000" showDropDown="1" showInputMessage="0" showErrorMessage="0" allowBlank="1" type="list">
      <formula1>=BoolList</formula1>
    </dataValidation>
    <dataValidation sqref="I2:I1000" showDropDown="1" showInputMessage="0" showErrorMessage="0" allowBlank="1" type="list">
      <formula1>=SourceIdList</formula1>
    </dataValidation>
    <dataValidation sqref="K2:K1000" showDropDown="1" showInputMessage="0" showErrorMessage="0" allowBlank="1" type="list">
      <formula1>=PatchVersionList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FE2F3"/>
    <outlinePr summaryBelow="1" summaryRight="1"/>
    <pageSetUpPr/>
  </sheetPr>
  <dimension ref="A1:Q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4" customWidth="1" min="10" max="10"/>
    <col width="34" customWidth="1" min="11" max="11"/>
    <col width="38" customWidth="1" min="12" max="12"/>
    <col width="16" customWidth="1" min="13" max="13"/>
    <col width="24" customWidth="1" min="14" max="14"/>
    <col width="12" customWidth="1" min="15" max="15"/>
    <col width="14" customWidth="1" min="16" max="16"/>
    <col width="14" customWidth="1" min="17" max="17"/>
  </cols>
  <sheetData>
    <row r="1" ht="28" customHeight="1">
      <c r="A1" s="4" t="inlineStr">
        <is>
          <t>weapon_id</t>
        </is>
      </c>
      <c r="B1" s="4" t="inlineStr">
        <is>
          <t>name</t>
        </is>
      </c>
      <c r="C1" s="4" t="inlineStr">
        <is>
          <t>class</t>
        </is>
      </c>
      <c r="D1" s="4" t="inlineStr">
        <is>
          <t>rarity</t>
        </is>
      </c>
      <c r="E1" s="4" t="inlineStr">
        <is>
          <t>is_named</t>
        </is>
      </c>
      <c r="F1" s="4" t="inlineStr">
        <is>
          <t>is_exotic</t>
        </is>
      </c>
      <c r="G1" s="4" t="inlineStr">
        <is>
          <t>base_damage</t>
        </is>
      </c>
      <c r="H1" s="4" t="inlineStr">
        <is>
          <t>rpm</t>
        </is>
      </c>
      <c r="I1" s="4" t="inlineStr">
        <is>
          <t>mag_size</t>
        </is>
      </c>
      <c r="J1" s="4" t="inlineStr">
        <is>
          <t>talent_id</t>
        </is>
      </c>
      <c r="K1" s="4" t="inlineStr">
        <is>
          <t>image_url</t>
        </is>
      </c>
      <c r="L1" s="4" t="inlineStr">
        <is>
          <t>wiki_url</t>
        </is>
      </c>
      <c r="M1" s="4" t="inlineStr">
        <is>
          <t>target_loot_ref</t>
        </is>
      </c>
      <c r="N1" s="4" t="inlineStr">
        <is>
          <t>notes</t>
        </is>
      </c>
      <c r="O1" s="4" t="inlineStr">
        <is>
          <t>source_id</t>
        </is>
      </c>
      <c r="P1" s="4" t="inlineStr">
        <is>
          <t>last_updated</t>
        </is>
      </c>
      <c r="Q1" s="4" t="inlineStr">
        <is>
          <t>patch_version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N2" s="5" t="n"/>
      <c r="O2" s="5" t="n"/>
      <c r="P2" s="5" t="n"/>
      <c r="Q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N3" s="5" t="n"/>
      <c r="O3" s="5" t="n"/>
      <c r="P3" s="5" t="n"/>
      <c r="Q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N4" s="5" t="n"/>
      <c r="O4" s="5" t="n"/>
      <c r="P4" s="5" t="n"/>
      <c r="Q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N5" s="5" t="n"/>
      <c r="O5" s="5" t="n"/>
      <c r="P5" s="5" t="n"/>
      <c r="Q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N6" s="5" t="n"/>
      <c r="O6" s="5" t="n"/>
      <c r="P6" s="5" t="n"/>
      <c r="Q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N7" s="5" t="n"/>
      <c r="O7" s="5" t="n"/>
      <c r="P7" s="5" t="n"/>
      <c r="Q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N8" s="5" t="n"/>
      <c r="O8" s="5" t="n"/>
      <c r="P8" s="5" t="n"/>
      <c r="Q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N9" s="5" t="n"/>
      <c r="O9" s="5" t="n"/>
      <c r="P9" s="5" t="n"/>
      <c r="Q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N10" s="5" t="n"/>
      <c r="O10" s="5" t="n"/>
      <c r="P10" s="5" t="n"/>
      <c r="Q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N11" s="5" t="n"/>
      <c r="O11" s="5" t="n"/>
      <c r="P11" s="5" t="n"/>
      <c r="Q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N12" s="5" t="n"/>
      <c r="O12" s="5" t="n"/>
      <c r="P12" s="5" t="n"/>
      <c r="Q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N13" s="5" t="n"/>
      <c r="O13" s="5" t="n"/>
      <c r="P13" s="5" t="n"/>
      <c r="Q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N14" s="5" t="n"/>
      <c r="O14" s="5" t="n"/>
      <c r="P14" s="5" t="n"/>
      <c r="Q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N15" s="5" t="n"/>
      <c r="O15" s="5" t="n"/>
      <c r="P15" s="5" t="n"/>
      <c r="Q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N16" s="5" t="n"/>
      <c r="O16" s="5" t="n"/>
      <c r="P16" s="5" t="n"/>
      <c r="Q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N17" s="5" t="n"/>
      <c r="O17" s="5" t="n"/>
      <c r="P17" s="5" t="n"/>
      <c r="Q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N18" s="5" t="n"/>
      <c r="O18" s="5" t="n"/>
      <c r="P18" s="5" t="n"/>
      <c r="Q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N19" s="5" t="n"/>
      <c r="O19" s="5" t="n"/>
      <c r="P19" s="5" t="n"/>
      <c r="Q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N20" s="5" t="n"/>
      <c r="O20" s="5" t="n"/>
      <c r="P20" s="5" t="n"/>
      <c r="Q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N21" s="5" t="n"/>
      <c r="O21" s="5" t="n"/>
      <c r="P21" s="5" t="n"/>
      <c r="Q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N22" s="5" t="n"/>
      <c r="O22" s="5" t="n"/>
      <c r="P22" s="5" t="n"/>
      <c r="Q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N23" s="5" t="n"/>
      <c r="O23" s="5" t="n"/>
      <c r="P23" s="5" t="n"/>
      <c r="Q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N24" s="5" t="n"/>
      <c r="O24" s="5" t="n"/>
      <c r="P24" s="5" t="n"/>
      <c r="Q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N25" s="5" t="n"/>
      <c r="O25" s="5" t="n"/>
      <c r="P25" s="5" t="n"/>
      <c r="Q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N26" s="5" t="n"/>
      <c r="O26" s="5" t="n"/>
      <c r="P26" s="5" t="n"/>
      <c r="Q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N27" s="5" t="n"/>
      <c r="O27" s="5" t="n"/>
      <c r="P27" s="5" t="n"/>
      <c r="Q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N28" s="5" t="n"/>
      <c r="O28" s="5" t="n"/>
      <c r="P28" s="5" t="n"/>
      <c r="Q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N29" s="5" t="n"/>
      <c r="O29" s="5" t="n"/>
      <c r="P29" s="5" t="n"/>
      <c r="Q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N30" s="5" t="n"/>
      <c r="O30" s="5" t="n"/>
      <c r="P30" s="5" t="n"/>
      <c r="Q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N31" s="5" t="n"/>
      <c r="O31" s="5" t="n"/>
      <c r="P31" s="5" t="n"/>
      <c r="Q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N32" s="5" t="n"/>
      <c r="O32" s="5" t="n"/>
      <c r="P32" s="5" t="n"/>
      <c r="Q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N33" s="5" t="n"/>
      <c r="O33" s="5" t="n"/>
      <c r="P33" s="5" t="n"/>
      <c r="Q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N34" s="5" t="n"/>
      <c r="O34" s="5" t="n"/>
      <c r="P34" s="5" t="n"/>
      <c r="Q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N35" s="5" t="n"/>
      <c r="O35" s="5" t="n"/>
      <c r="P35" s="5" t="n"/>
      <c r="Q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N36" s="5" t="n"/>
      <c r="O36" s="5" t="n"/>
      <c r="P36" s="5" t="n"/>
      <c r="Q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N37" s="5" t="n"/>
      <c r="O37" s="5" t="n"/>
      <c r="P37" s="5" t="n"/>
      <c r="Q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N38" s="5" t="n"/>
      <c r="O38" s="5" t="n"/>
      <c r="P38" s="5" t="n"/>
      <c r="Q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N39" s="5" t="n"/>
      <c r="O39" s="5" t="n"/>
      <c r="P39" s="5" t="n"/>
      <c r="Q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N40" s="5" t="n"/>
      <c r="O40" s="5" t="n"/>
      <c r="P40" s="5" t="n"/>
      <c r="Q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N41" s="5" t="n"/>
      <c r="O41" s="5" t="n"/>
      <c r="P41" s="5" t="n"/>
      <c r="Q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N42" s="5" t="n"/>
      <c r="O42" s="5" t="n"/>
      <c r="P42" s="5" t="n"/>
      <c r="Q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N43" s="5" t="n"/>
      <c r="O43" s="5" t="n"/>
      <c r="P43" s="5" t="n"/>
      <c r="Q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N44" s="5" t="n"/>
      <c r="O44" s="5" t="n"/>
      <c r="P44" s="5" t="n"/>
      <c r="Q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N45" s="5" t="n"/>
      <c r="O45" s="5" t="n"/>
      <c r="P45" s="5" t="n"/>
      <c r="Q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N46" s="5" t="n"/>
      <c r="O46" s="5" t="n"/>
      <c r="P46" s="5" t="n"/>
      <c r="Q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N47" s="5" t="n"/>
      <c r="O47" s="5" t="n"/>
      <c r="P47" s="5" t="n"/>
      <c r="Q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N48" s="5" t="n"/>
      <c r="O48" s="5" t="n"/>
      <c r="P48" s="5" t="n"/>
      <c r="Q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N49" s="5" t="n"/>
      <c r="O49" s="5" t="n"/>
      <c r="P49" s="5" t="n"/>
      <c r="Q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N50" s="5" t="n"/>
      <c r="O50" s="5" t="n"/>
      <c r="P50" s="5" t="n"/>
      <c r="Q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N51" s="5" t="n"/>
      <c r="O51" s="5" t="n"/>
      <c r="P51" s="5" t="n"/>
      <c r="Q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N52" s="5" t="n"/>
      <c r="O52" s="5" t="n"/>
      <c r="P52" s="5" t="n"/>
      <c r="Q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N53" s="5" t="n"/>
      <c r="O53" s="5" t="n"/>
      <c r="P53" s="5" t="n"/>
      <c r="Q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N54" s="5" t="n"/>
      <c r="O54" s="5" t="n"/>
      <c r="P54" s="5" t="n"/>
      <c r="Q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N55" s="5" t="n"/>
      <c r="O55" s="5" t="n"/>
      <c r="P55" s="5" t="n"/>
      <c r="Q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N56" s="5" t="n"/>
      <c r="O56" s="5" t="n"/>
      <c r="P56" s="5" t="n"/>
      <c r="Q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N57" s="5" t="n"/>
      <c r="O57" s="5" t="n"/>
      <c r="P57" s="5" t="n"/>
      <c r="Q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N58" s="5" t="n"/>
      <c r="O58" s="5" t="n"/>
      <c r="P58" s="5" t="n"/>
      <c r="Q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N59" s="5" t="n"/>
      <c r="O59" s="5" t="n"/>
      <c r="P59" s="5" t="n"/>
      <c r="Q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N60" s="5" t="n"/>
      <c r="O60" s="5" t="n"/>
      <c r="P60" s="5" t="n"/>
      <c r="Q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N61" s="5" t="n"/>
      <c r="O61" s="5" t="n"/>
      <c r="P61" s="5" t="n"/>
      <c r="Q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N62" s="5" t="n"/>
      <c r="O62" s="5" t="n"/>
      <c r="P62" s="5" t="n"/>
      <c r="Q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N63" s="5" t="n"/>
      <c r="O63" s="5" t="n"/>
      <c r="P63" s="5" t="n"/>
      <c r="Q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N64" s="5" t="n"/>
      <c r="O64" s="5" t="n"/>
      <c r="P64" s="5" t="n"/>
      <c r="Q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N65" s="5" t="n"/>
      <c r="O65" s="5" t="n"/>
      <c r="P65" s="5" t="n"/>
      <c r="Q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N66" s="5" t="n"/>
      <c r="O66" s="5" t="n"/>
      <c r="P66" s="5" t="n"/>
      <c r="Q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N67" s="5" t="n"/>
      <c r="O67" s="5" t="n"/>
      <c r="P67" s="5" t="n"/>
      <c r="Q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N68" s="5" t="n"/>
      <c r="O68" s="5" t="n"/>
      <c r="P68" s="5" t="n"/>
      <c r="Q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N69" s="5" t="n"/>
      <c r="O69" s="5" t="n"/>
      <c r="P69" s="5" t="n"/>
      <c r="Q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N70" s="5" t="n"/>
      <c r="O70" s="5" t="n"/>
      <c r="P70" s="5" t="n"/>
      <c r="Q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N71" s="5" t="n"/>
      <c r="O71" s="5" t="n"/>
      <c r="P71" s="5" t="n"/>
      <c r="Q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N72" s="5" t="n"/>
      <c r="O72" s="5" t="n"/>
      <c r="P72" s="5" t="n"/>
      <c r="Q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N73" s="5" t="n"/>
      <c r="O73" s="5" t="n"/>
      <c r="P73" s="5" t="n"/>
      <c r="Q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N74" s="5" t="n"/>
      <c r="O74" s="5" t="n"/>
      <c r="P74" s="5" t="n"/>
      <c r="Q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N75" s="5" t="n"/>
      <c r="O75" s="5" t="n"/>
      <c r="P75" s="5" t="n"/>
      <c r="Q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N76" s="5" t="n"/>
      <c r="O76" s="5" t="n"/>
      <c r="P76" s="5" t="n"/>
      <c r="Q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N77" s="5" t="n"/>
      <c r="O77" s="5" t="n"/>
      <c r="P77" s="5" t="n"/>
      <c r="Q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N78" s="5" t="n"/>
      <c r="O78" s="5" t="n"/>
      <c r="P78" s="5" t="n"/>
      <c r="Q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N79" s="5" t="n"/>
      <c r="O79" s="5" t="n"/>
      <c r="P79" s="5" t="n"/>
      <c r="Q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N80" s="5" t="n"/>
      <c r="O80" s="5" t="n"/>
      <c r="P80" s="5" t="n"/>
      <c r="Q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N81" s="5" t="n"/>
      <c r="O81" s="5" t="n"/>
      <c r="P81" s="5" t="n"/>
      <c r="Q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N82" s="5" t="n"/>
      <c r="O82" s="5" t="n"/>
      <c r="P82" s="5" t="n"/>
      <c r="Q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N83" s="5" t="n"/>
      <c r="O83" s="5" t="n"/>
      <c r="P83" s="5" t="n"/>
      <c r="Q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N84" s="5" t="n"/>
      <c r="O84" s="5" t="n"/>
      <c r="P84" s="5" t="n"/>
      <c r="Q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N85" s="5" t="n"/>
      <c r="O85" s="5" t="n"/>
      <c r="P85" s="5" t="n"/>
      <c r="Q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N86" s="5" t="n"/>
      <c r="O86" s="5" t="n"/>
      <c r="P86" s="5" t="n"/>
      <c r="Q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N87" s="5" t="n"/>
      <c r="O87" s="5" t="n"/>
      <c r="P87" s="5" t="n"/>
      <c r="Q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N88" s="5" t="n"/>
      <c r="O88" s="5" t="n"/>
      <c r="P88" s="5" t="n"/>
      <c r="Q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N89" s="5" t="n"/>
      <c r="O89" s="5" t="n"/>
      <c r="P89" s="5" t="n"/>
      <c r="Q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N90" s="5" t="n"/>
      <c r="O90" s="5" t="n"/>
      <c r="P90" s="5" t="n"/>
      <c r="Q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N91" s="5" t="n"/>
      <c r="O91" s="5" t="n"/>
      <c r="P91" s="5" t="n"/>
      <c r="Q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N92" s="5" t="n"/>
      <c r="O92" s="5" t="n"/>
      <c r="P92" s="5" t="n"/>
      <c r="Q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N93" s="5" t="n"/>
      <c r="O93" s="5" t="n"/>
      <c r="P93" s="5" t="n"/>
      <c r="Q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N94" s="5" t="n"/>
      <c r="O94" s="5" t="n"/>
      <c r="P94" s="5" t="n"/>
      <c r="Q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N95" s="5" t="n"/>
      <c r="O95" s="5" t="n"/>
      <c r="P95" s="5" t="n"/>
      <c r="Q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N96" s="5" t="n"/>
      <c r="O96" s="5" t="n"/>
      <c r="P96" s="5" t="n"/>
      <c r="Q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N97" s="5" t="n"/>
      <c r="O97" s="5" t="n"/>
      <c r="P97" s="5" t="n"/>
      <c r="Q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N98" s="5" t="n"/>
      <c r="O98" s="5" t="n"/>
      <c r="P98" s="5" t="n"/>
      <c r="Q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N99" s="5" t="n"/>
      <c r="O99" s="5" t="n"/>
      <c r="P99" s="5" t="n"/>
      <c r="Q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N100" s="5" t="n"/>
      <c r="O100" s="5" t="n"/>
      <c r="P100" s="5" t="n"/>
      <c r="Q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N101" s="5" t="n"/>
      <c r="O101" s="5" t="n"/>
      <c r="P101" s="5" t="n"/>
      <c r="Q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N102" s="5" t="n"/>
      <c r="O102" s="5" t="n"/>
      <c r="P102" s="5" t="n"/>
      <c r="Q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N103" s="5" t="n"/>
      <c r="O103" s="5" t="n"/>
      <c r="P103" s="5" t="n"/>
      <c r="Q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N104" s="5" t="n"/>
      <c r="O104" s="5" t="n"/>
      <c r="P104" s="5" t="n"/>
      <c r="Q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N105" s="5" t="n"/>
      <c r="O105" s="5" t="n"/>
      <c r="P105" s="5" t="n"/>
      <c r="Q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N106" s="5" t="n"/>
      <c r="O106" s="5" t="n"/>
      <c r="P106" s="5" t="n"/>
      <c r="Q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N107" s="5" t="n"/>
      <c r="O107" s="5" t="n"/>
      <c r="P107" s="5" t="n"/>
      <c r="Q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N108" s="5" t="n"/>
      <c r="O108" s="5" t="n"/>
      <c r="P108" s="5" t="n"/>
      <c r="Q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N109" s="5" t="n"/>
      <c r="O109" s="5" t="n"/>
      <c r="P109" s="5" t="n"/>
      <c r="Q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N110" s="5" t="n"/>
      <c r="O110" s="5" t="n"/>
      <c r="P110" s="5" t="n"/>
      <c r="Q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N111" s="5" t="n"/>
      <c r="O111" s="5" t="n"/>
      <c r="P111" s="5" t="n"/>
      <c r="Q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N112" s="5" t="n"/>
      <c r="O112" s="5" t="n"/>
      <c r="P112" s="5" t="n"/>
      <c r="Q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N113" s="5" t="n"/>
      <c r="O113" s="5" t="n"/>
      <c r="P113" s="5" t="n"/>
      <c r="Q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N114" s="5" t="n"/>
      <c r="O114" s="5" t="n"/>
      <c r="P114" s="5" t="n"/>
      <c r="Q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N115" s="5" t="n"/>
      <c r="O115" s="5" t="n"/>
      <c r="P115" s="5" t="n"/>
      <c r="Q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N116" s="5" t="n"/>
      <c r="O116" s="5" t="n"/>
      <c r="P116" s="5" t="n"/>
      <c r="Q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N117" s="5" t="n"/>
      <c r="O117" s="5" t="n"/>
      <c r="P117" s="5" t="n"/>
      <c r="Q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N118" s="5" t="n"/>
      <c r="O118" s="5" t="n"/>
      <c r="P118" s="5" t="n"/>
      <c r="Q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N119" s="5" t="n"/>
      <c r="O119" s="5" t="n"/>
      <c r="P119" s="5" t="n"/>
      <c r="Q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N120" s="5" t="n"/>
      <c r="O120" s="5" t="n"/>
      <c r="P120" s="5" t="n"/>
      <c r="Q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N121" s="5" t="n"/>
      <c r="O121" s="5" t="n"/>
      <c r="P121" s="5" t="n"/>
      <c r="Q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N122" s="5" t="n"/>
      <c r="O122" s="5" t="n"/>
      <c r="P122" s="5" t="n"/>
      <c r="Q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N123" s="5" t="n"/>
      <c r="O123" s="5" t="n"/>
      <c r="P123" s="5" t="n"/>
      <c r="Q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N124" s="5" t="n"/>
      <c r="O124" s="5" t="n"/>
      <c r="P124" s="5" t="n"/>
      <c r="Q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N125" s="5" t="n"/>
      <c r="O125" s="5" t="n"/>
      <c r="P125" s="5" t="n"/>
      <c r="Q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N126" s="5" t="n"/>
      <c r="O126" s="5" t="n"/>
      <c r="P126" s="5" t="n"/>
      <c r="Q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N127" s="5" t="n"/>
      <c r="O127" s="5" t="n"/>
      <c r="P127" s="5" t="n"/>
      <c r="Q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N128" s="5" t="n"/>
      <c r="O128" s="5" t="n"/>
      <c r="P128" s="5" t="n"/>
      <c r="Q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N129" s="5" t="n"/>
      <c r="O129" s="5" t="n"/>
      <c r="P129" s="5" t="n"/>
      <c r="Q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N130" s="5" t="n"/>
      <c r="O130" s="5" t="n"/>
      <c r="P130" s="5" t="n"/>
      <c r="Q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N131" s="5" t="n"/>
      <c r="O131" s="5" t="n"/>
      <c r="P131" s="5" t="n"/>
      <c r="Q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N132" s="5" t="n"/>
      <c r="O132" s="5" t="n"/>
      <c r="P132" s="5" t="n"/>
      <c r="Q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N133" s="5" t="n"/>
      <c r="O133" s="5" t="n"/>
      <c r="P133" s="5" t="n"/>
      <c r="Q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N134" s="5" t="n"/>
      <c r="O134" s="5" t="n"/>
      <c r="P134" s="5" t="n"/>
      <c r="Q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N135" s="5" t="n"/>
      <c r="O135" s="5" t="n"/>
      <c r="P135" s="5" t="n"/>
      <c r="Q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N136" s="5" t="n"/>
      <c r="O136" s="5" t="n"/>
      <c r="P136" s="5" t="n"/>
      <c r="Q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N137" s="5" t="n"/>
      <c r="O137" s="5" t="n"/>
      <c r="P137" s="5" t="n"/>
      <c r="Q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N138" s="5" t="n"/>
      <c r="O138" s="5" t="n"/>
      <c r="P138" s="5" t="n"/>
      <c r="Q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N139" s="5" t="n"/>
      <c r="O139" s="5" t="n"/>
      <c r="P139" s="5" t="n"/>
      <c r="Q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N140" s="5" t="n"/>
      <c r="O140" s="5" t="n"/>
      <c r="P140" s="5" t="n"/>
      <c r="Q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N141" s="5" t="n"/>
      <c r="O141" s="5" t="n"/>
      <c r="P141" s="5" t="n"/>
      <c r="Q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N142" s="5" t="n"/>
      <c r="O142" s="5" t="n"/>
      <c r="P142" s="5" t="n"/>
      <c r="Q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N143" s="5" t="n"/>
      <c r="O143" s="5" t="n"/>
      <c r="P143" s="5" t="n"/>
      <c r="Q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N144" s="5" t="n"/>
      <c r="O144" s="5" t="n"/>
      <c r="P144" s="5" t="n"/>
      <c r="Q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N145" s="5" t="n"/>
      <c r="O145" s="5" t="n"/>
      <c r="P145" s="5" t="n"/>
      <c r="Q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N146" s="5" t="n"/>
      <c r="O146" s="5" t="n"/>
      <c r="P146" s="5" t="n"/>
      <c r="Q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N147" s="5" t="n"/>
      <c r="O147" s="5" t="n"/>
      <c r="P147" s="5" t="n"/>
      <c r="Q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N148" s="5" t="n"/>
      <c r="O148" s="5" t="n"/>
      <c r="P148" s="5" t="n"/>
      <c r="Q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N149" s="5" t="n"/>
      <c r="O149" s="5" t="n"/>
      <c r="P149" s="5" t="n"/>
      <c r="Q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N150" s="5" t="n"/>
      <c r="O150" s="5" t="n"/>
      <c r="P150" s="5" t="n"/>
      <c r="Q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N151" s="5" t="n"/>
      <c r="O151" s="5" t="n"/>
      <c r="P151" s="5" t="n"/>
      <c r="Q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N152" s="5" t="n"/>
      <c r="O152" s="5" t="n"/>
      <c r="P152" s="5" t="n"/>
      <c r="Q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N153" s="5" t="n"/>
      <c r="O153" s="5" t="n"/>
      <c r="P153" s="5" t="n"/>
      <c r="Q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N154" s="5" t="n"/>
      <c r="O154" s="5" t="n"/>
      <c r="P154" s="5" t="n"/>
      <c r="Q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N155" s="5" t="n"/>
      <c r="O155" s="5" t="n"/>
      <c r="P155" s="5" t="n"/>
      <c r="Q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N156" s="5" t="n"/>
      <c r="O156" s="5" t="n"/>
      <c r="P156" s="5" t="n"/>
      <c r="Q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N157" s="5" t="n"/>
      <c r="O157" s="5" t="n"/>
      <c r="P157" s="5" t="n"/>
      <c r="Q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N158" s="5" t="n"/>
      <c r="O158" s="5" t="n"/>
      <c r="P158" s="5" t="n"/>
      <c r="Q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N159" s="5" t="n"/>
      <c r="O159" s="5" t="n"/>
      <c r="P159" s="5" t="n"/>
      <c r="Q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N160" s="5" t="n"/>
      <c r="O160" s="5" t="n"/>
      <c r="P160" s="5" t="n"/>
      <c r="Q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N161" s="5" t="n"/>
      <c r="O161" s="5" t="n"/>
      <c r="P161" s="5" t="n"/>
      <c r="Q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N162" s="5" t="n"/>
      <c r="O162" s="5" t="n"/>
      <c r="P162" s="5" t="n"/>
      <c r="Q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N163" s="5" t="n"/>
      <c r="O163" s="5" t="n"/>
      <c r="P163" s="5" t="n"/>
      <c r="Q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N164" s="5" t="n"/>
      <c r="O164" s="5" t="n"/>
      <c r="P164" s="5" t="n"/>
      <c r="Q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N165" s="5" t="n"/>
      <c r="O165" s="5" t="n"/>
      <c r="P165" s="5" t="n"/>
      <c r="Q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N166" s="5" t="n"/>
      <c r="O166" s="5" t="n"/>
      <c r="P166" s="5" t="n"/>
      <c r="Q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N167" s="5" t="n"/>
      <c r="O167" s="5" t="n"/>
      <c r="P167" s="5" t="n"/>
      <c r="Q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N168" s="5" t="n"/>
      <c r="O168" s="5" t="n"/>
      <c r="P168" s="5" t="n"/>
      <c r="Q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N169" s="5" t="n"/>
      <c r="O169" s="5" t="n"/>
      <c r="P169" s="5" t="n"/>
      <c r="Q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N170" s="5" t="n"/>
      <c r="O170" s="5" t="n"/>
      <c r="P170" s="5" t="n"/>
      <c r="Q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N171" s="5" t="n"/>
      <c r="O171" s="5" t="n"/>
      <c r="P171" s="5" t="n"/>
      <c r="Q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N172" s="5" t="n"/>
      <c r="O172" s="5" t="n"/>
      <c r="P172" s="5" t="n"/>
      <c r="Q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N173" s="5" t="n"/>
      <c r="O173" s="5" t="n"/>
      <c r="P173" s="5" t="n"/>
      <c r="Q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N174" s="5" t="n"/>
      <c r="O174" s="5" t="n"/>
      <c r="P174" s="5" t="n"/>
      <c r="Q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N175" s="5" t="n"/>
      <c r="O175" s="5" t="n"/>
      <c r="P175" s="5" t="n"/>
      <c r="Q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N176" s="5" t="n"/>
      <c r="O176" s="5" t="n"/>
      <c r="P176" s="5" t="n"/>
      <c r="Q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N177" s="5" t="n"/>
      <c r="O177" s="5" t="n"/>
      <c r="P177" s="5" t="n"/>
      <c r="Q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N178" s="5" t="n"/>
      <c r="O178" s="5" t="n"/>
      <c r="P178" s="5" t="n"/>
      <c r="Q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N179" s="5" t="n"/>
      <c r="O179" s="5" t="n"/>
      <c r="P179" s="5" t="n"/>
      <c r="Q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N180" s="5" t="n"/>
      <c r="O180" s="5" t="n"/>
      <c r="P180" s="5" t="n"/>
      <c r="Q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N181" s="5" t="n"/>
      <c r="O181" s="5" t="n"/>
      <c r="P181" s="5" t="n"/>
      <c r="Q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N182" s="5" t="n"/>
      <c r="O182" s="5" t="n"/>
      <c r="P182" s="5" t="n"/>
      <c r="Q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N183" s="5" t="n"/>
      <c r="O183" s="5" t="n"/>
      <c r="P183" s="5" t="n"/>
      <c r="Q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N184" s="5" t="n"/>
      <c r="O184" s="5" t="n"/>
      <c r="P184" s="5" t="n"/>
      <c r="Q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N185" s="5" t="n"/>
      <c r="O185" s="5" t="n"/>
      <c r="P185" s="5" t="n"/>
      <c r="Q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N186" s="5" t="n"/>
      <c r="O186" s="5" t="n"/>
      <c r="P186" s="5" t="n"/>
      <c r="Q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N187" s="5" t="n"/>
      <c r="O187" s="5" t="n"/>
      <c r="P187" s="5" t="n"/>
      <c r="Q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N188" s="5" t="n"/>
      <c r="O188" s="5" t="n"/>
      <c r="P188" s="5" t="n"/>
      <c r="Q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N189" s="5" t="n"/>
      <c r="O189" s="5" t="n"/>
      <c r="P189" s="5" t="n"/>
      <c r="Q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N190" s="5" t="n"/>
      <c r="O190" s="5" t="n"/>
      <c r="P190" s="5" t="n"/>
      <c r="Q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N191" s="5" t="n"/>
      <c r="O191" s="5" t="n"/>
      <c r="P191" s="5" t="n"/>
      <c r="Q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N192" s="5" t="n"/>
      <c r="O192" s="5" t="n"/>
      <c r="P192" s="5" t="n"/>
      <c r="Q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N193" s="5" t="n"/>
      <c r="O193" s="5" t="n"/>
      <c r="P193" s="5" t="n"/>
      <c r="Q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N194" s="5" t="n"/>
      <c r="O194" s="5" t="n"/>
      <c r="P194" s="5" t="n"/>
      <c r="Q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N195" s="5" t="n"/>
      <c r="O195" s="5" t="n"/>
      <c r="P195" s="5" t="n"/>
      <c r="Q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N196" s="5" t="n"/>
      <c r="O196" s="5" t="n"/>
      <c r="P196" s="5" t="n"/>
      <c r="Q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N197" s="5" t="n"/>
      <c r="O197" s="5" t="n"/>
      <c r="P197" s="5" t="n"/>
      <c r="Q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N198" s="5" t="n"/>
      <c r="O198" s="5" t="n"/>
      <c r="P198" s="5" t="n"/>
      <c r="Q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N199" s="5" t="n"/>
      <c r="O199" s="5" t="n"/>
      <c r="P199" s="5" t="n"/>
      <c r="Q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N200" s="5" t="n"/>
      <c r="O200" s="5" t="n"/>
      <c r="P200" s="5" t="n"/>
      <c r="Q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N201" s="5" t="n"/>
      <c r="O201" s="5" t="n"/>
      <c r="P201" s="5" t="n"/>
      <c r="Q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N202" s="5" t="n"/>
      <c r="O202" s="5" t="n"/>
      <c r="P202" s="5" t="n"/>
      <c r="Q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N203" s="5" t="n"/>
      <c r="O203" s="5" t="n"/>
      <c r="P203" s="5" t="n"/>
      <c r="Q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N204" s="5" t="n"/>
      <c r="O204" s="5" t="n"/>
      <c r="P204" s="5" t="n"/>
      <c r="Q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N205" s="5" t="n"/>
      <c r="O205" s="5" t="n"/>
      <c r="P205" s="5" t="n"/>
      <c r="Q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N206" s="5" t="n"/>
      <c r="O206" s="5" t="n"/>
      <c r="P206" s="5" t="n"/>
      <c r="Q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N207" s="5" t="n"/>
      <c r="O207" s="5" t="n"/>
      <c r="P207" s="5" t="n"/>
      <c r="Q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N208" s="5" t="n"/>
      <c r="O208" s="5" t="n"/>
      <c r="P208" s="5" t="n"/>
      <c r="Q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N209" s="5" t="n"/>
      <c r="O209" s="5" t="n"/>
      <c r="P209" s="5" t="n"/>
      <c r="Q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N210" s="5" t="n"/>
      <c r="O210" s="5" t="n"/>
      <c r="P210" s="5" t="n"/>
      <c r="Q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N211" s="5" t="n"/>
      <c r="O211" s="5" t="n"/>
      <c r="P211" s="5" t="n"/>
      <c r="Q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N212" s="5" t="n"/>
      <c r="O212" s="5" t="n"/>
      <c r="P212" s="5" t="n"/>
      <c r="Q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N213" s="5" t="n"/>
      <c r="O213" s="5" t="n"/>
      <c r="P213" s="5" t="n"/>
      <c r="Q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N214" s="5" t="n"/>
      <c r="O214" s="5" t="n"/>
      <c r="P214" s="5" t="n"/>
      <c r="Q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N215" s="5" t="n"/>
      <c r="O215" s="5" t="n"/>
      <c r="P215" s="5" t="n"/>
      <c r="Q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N216" s="5" t="n"/>
      <c r="O216" s="5" t="n"/>
      <c r="P216" s="5" t="n"/>
      <c r="Q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N217" s="5" t="n"/>
      <c r="O217" s="5" t="n"/>
      <c r="P217" s="5" t="n"/>
      <c r="Q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N218" s="5" t="n"/>
      <c r="O218" s="5" t="n"/>
      <c r="P218" s="5" t="n"/>
      <c r="Q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N219" s="5" t="n"/>
      <c r="O219" s="5" t="n"/>
      <c r="P219" s="5" t="n"/>
      <c r="Q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N220" s="5" t="n"/>
      <c r="O220" s="5" t="n"/>
      <c r="P220" s="5" t="n"/>
      <c r="Q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N221" s="5" t="n"/>
      <c r="O221" s="5" t="n"/>
      <c r="P221" s="5" t="n"/>
      <c r="Q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N222" s="5" t="n"/>
      <c r="O222" s="5" t="n"/>
      <c r="P222" s="5" t="n"/>
      <c r="Q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N223" s="5" t="n"/>
      <c r="O223" s="5" t="n"/>
      <c r="P223" s="5" t="n"/>
      <c r="Q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N224" s="5" t="n"/>
      <c r="O224" s="5" t="n"/>
      <c r="P224" s="5" t="n"/>
      <c r="Q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N225" s="5" t="n"/>
      <c r="O225" s="5" t="n"/>
      <c r="P225" s="5" t="n"/>
      <c r="Q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N226" s="5" t="n"/>
      <c r="O226" s="5" t="n"/>
      <c r="P226" s="5" t="n"/>
      <c r="Q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N227" s="5" t="n"/>
      <c r="O227" s="5" t="n"/>
      <c r="P227" s="5" t="n"/>
      <c r="Q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N228" s="5" t="n"/>
      <c r="O228" s="5" t="n"/>
      <c r="P228" s="5" t="n"/>
      <c r="Q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N229" s="5" t="n"/>
      <c r="O229" s="5" t="n"/>
      <c r="P229" s="5" t="n"/>
      <c r="Q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N230" s="5" t="n"/>
      <c r="O230" s="5" t="n"/>
      <c r="P230" s="5" t="n"/>
      <c r="Q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N231" s="5" t="n"/>
      <c r="O231" s="5" t="n"/>
      <c r="P231" s="5" t="n"/>
      <c r="Q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N232" s="5" t="n"/>
      <c r="O232" s="5" t="n"/>
      <c r="P232" s="5" t="n"/>
      <c r="Q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N233" s="5" t="n"/>
      <c r="O233" s="5" t="n"/>
      <c r="P233" s="5" t="n"/>
      <c r="Q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N234" s="5" t="n"/>
      <c r="O234" s="5" t="n"/>
      <c r="P234" s="5" t="n"/>
      <c r="Q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N235" s="5" t="n"/>
      <c r="O235" s="5" t="n"/>
      <c r="P235" s="5" t="n"/>
      <c r="Q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N236" s="5" t="n"/>
      <c r="O236" s="5" t="n"/>
      <c r="P236" s="5" t="n"/>
      <c r="Q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N237" s="5" t="n"/>
      <c r="O237" s="5" t="n"/>
      <c r="P237" s="5" t="n"/>
      <c r="Q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N238" s="5" t="n"/>
      <c r="O238" s="5" t="n"/>
      <c r="P238" s="5" t="n"/>
      <c r="Q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N239" s="5" t="n"/>
      <c r="O239" s="5" t="n"/>
      <c r="P239" s="5" t="n"/>
      <c r="Q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N240" s="5" t="n"/>
      <c r="O240" s="5" t="n"/>
      <c r="P240" s="5" t="n"/>
      <c r="Q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N241" s="5" t="n"/>
      <c r="O241" s="5" t="n"/>
      <c r="P241" s="5" t="n"/>
      <c r="Q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N242" s="5" t="n"/>
      <c r="O242" s="5" t="n"/>
      <c r="P242" s="5" t="n"/>
      <c r="Q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N243" s="5" t="n"/>
      <c r="O243" s="5" t="n"/>
      <c r="P243" s="5" t="n"/>
      <c r="Q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N244" s="5" t="n"/>
      <c r="O244" s="5" t="n"/>
      <c r="P244" s="5" t="n"/>
      <c r="Q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N245" s="5" t="n"/>
      <c r="O245" s="5" t="n"/>
      <c r="P245" s="5" t="n"/>
      <c r="Q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N246" s="5" t="n"/>
      <c r="O246" s="5" t="n"/>
      <c r="P246" s="5" t="n"/>
      <c r="Q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N247" s="5" t="n"/>
      <c r="O247" s="5" t="n"/>
      <c r="P247" s="5" t="n"/>
      <c r="Q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N248" s="5" t="n"/>
      <c r="O248" s="5" t="n"/>
      <c r="P248" s="5" t="n"/>
      <c r="Q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N249" s="5" t="n"/>
      <c r="O249" s="5" t="n"/>
      <c r="P249" s="5" t="n"/>
      <c r="Q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N250" s="5" t="n"/>
      <c r="O250" s="5" t="n"/>
      <c r="P250" s="5" t="n"/>
      <c r="Q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N251" s="5" t="n"/>
      <c r="O251" s="5" t="n"/>
      <c r="P251" s="5" t="n"/>
      <c r="Q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N252" s="5" t="n"/>
      <c r="O252" s="5" t="n"/>
      <c r="P252" s="5" t="n"/>
      <c r="Q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N253" s="5" t="n"/>
      <c r="O253" s="5" t="n"/>
      <c r="P253" s="5" t="n"/>
      <c r="Q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N254" s="5" t="n"/>
      <c r="O254" s="5" t="n"/>
      <c r="P254" s="5" t="n"/>
      <c r="Q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N255" s="5" t="n"/>
      <c r="O255" s="5" t="n"/>
      <c r="P255" s="5" t="n"/>
      <c r="Q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N256" s="5" t="n"/>
      <c r="O256" s="5" t="n"/>
      <c r="P256" s="5" t="n"/>
      <c r="Q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N257" s="5" t="n"/>
      <c r="O257" s="5" t="n"/>
      <c r="P257" s="5" t="n"/>
      <c r="Q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N258" s="5" t="n"/>
      <c r="O258" s="5" t="n"/>
      <c r="P258" s="5" t="n"/>
      <c r="Q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N259" s="5" t="n"/>
      <c r="O259" s="5" t="n"/>
      <c r="P259" s="5" t="n"/>
      <c r="Q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N260" s="5" t="n"/>
      <c r="O260" s="5" t="n"/>
      <c r="P260" s="5" t="n"/>
      <c r="Q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N261" s="5" t="n"/>
      <c r="O261" s="5" t="n"/>
      <c r="P261" s="5" t="n"/>
      <c r="Q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N262" s="5" t="n"/>
      <c r="O262" s="5" t="n"/>
      <c r="P262" s="5" t="n"/>
      <c r="Q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N263" s="5" t="n"/>
      <c r="O263" s="5" t="n"/>
      <c r="P263" s="5" t="n"/>
      <c r="Q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N264" s="5" t="n"/>
      <c r="O264" s="5" t="n"/>
      <c r="P264" s="5" t="n"/>
      <c r="Q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N265" s="5" t="n"/>
      <c r="O265" s="5" t="n"/>
      <c r="P265" s="5" t="n"/>
      <c r="Q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N266" s="5" t="n"/>
      <c r="O266" s="5" t="n"/>
      <c r="P266" s="5" t="n"/>
      <c r="Q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N267" s="5" t="n"/>
      <c r="O267" s="5" t="n"/>
      <c r="P267" s="5" t="n"/>
      <c r="Q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N268" s="5" t="n"/>
      <c r="O268" s="5" t="n"/>
      <c r="P268" s="5" t="n"/>
      <c r="Q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N269" s="5" t="n"/>
      <c r="O269" s="5" t="n"/>
      <c r="P269" s="5" t="n"/>
      <c r="Q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N270" s="5" t="n"/>
      <c r="O270" s="5" t="n"/>
      <c r="P270" s="5" t="n"/>
      <c r="Q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N271" s="5" t="n"/>
      <c r="O271" s="5" t="n"/>
      <c r="P271" s="5" t="n"/>
      <c r="Q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N272" s="5" t="n"/>
      <c r="O272" s="5" t="n"/>
      <c r="P272" s="5" t="n"/>
      <c r="Q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N273" s="5" t="n"/>
      <c r="O273" s="5" t="n"/>
      <c r="P273" s="5" t="n"/>
      <c r="Q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N274" s="5" t="n"/>
      <c r="O274" s="5" t="n"/>
      <c r="P274" s="5" t="n"/>
      <c r="Q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N275" s="5" t="n"/>
      <c r="O275" s="5" t="n"/>
      <c r="P275" s="5" t="n"/>
      <c r="Q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N276" s="5" t="n"/>
      <c r="O276" s="5" t="n"/>
      <c r="P276" s="5" t="n"/>
      <c r="Q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N277" s="5" t="n"/>
      <c r="O277" s="5" t="n"/>
      <c r="P277" s="5" t="n"/>
      <c r="Q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N278" s="5" t="n"/>
      <c r="O278" s="5" t="n"/>
      <c r="P278" s="5" t="n"/>
      <c r="Q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N279" s="5" t="n"/>
      <c r="O279" s="5" t="n"/>
      <c r="P279" s="5" t="n"/>
      <c r="Q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N280" s="5" t="n"/>
      <c r="O280" s="5" t="n"/>
      <c r="P280" s="5" t="n"/>
      <c r="Q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N281" s="5" t="n"/>
      <c r="O281" s="5" t="n"/>
      <c r="P281" s="5" t="n"/>
      <c r="Q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N282" s="5" t="n"/>
      <c r="O282" s="5" t="n"/>
      <c r="P282" s="5" t="n"/>
      <c r="Q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N283" s="5" t="n"/>
      <c r="O283" s="5" t="n"/>
      <c r="P283" s="5" t="n"/>
      <c r="Q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N284" s="5" t="n"/>
      <c r="O284" s="5" t="n"/>
      <c r="P284" s="5" t="n"/>
      <c r="Q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N285" s="5" t="n"/>
      <c r="O285" s="5" t="n"/>
      <c r="P285" s="5" t="n"/>
      <c r="Q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N286" s="5" t="n"/>
      <c r="O286" s="5" t="n"/>
      <c r="P286" s="5" t="n"/>
      <c r="Q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N287" s="5" t="n"/>
      <c r="O287" s="5" t="n"/>
      <c r="P287" s="5" t="n"/>
      <c r="Q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N288" s="5" t="n"/>
      <c r="O288" s="5" t="n"/>
      <c r="P288" s="5" t="n"/>
      <c r="Q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N289" s="5" t="n"/>
      <c r="O289" s="5" t="n"/>
      <c r="P289" s="5" t="n"/>
      <c r="Q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N290" s="5" t="n"/>
      <c r="O290" s="5" t="n"/>
      <c r="P290" s="5" t="n"/>
      <c r="Q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N291" s="5" t="n"/>
      <c r="O291" s="5" t="n"/>
      <c r="P291" s="5" t="n"/>
      <c r="Q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N292" s="5" t="n"/>
      <c r="O292" s="5" t="n"/>
      <c r="P292" s="5" t="n"/>
      <c r="Q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N293" s="5" t="n"/>
      <c r="O293" s="5" t="n"/>
      <c r="P293" s="5" t="n"/>
      <c r="Q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N294" s="5" t="n"/>
      <c r="O294" s="5" t="n"/>
      <c r="P294" s="5" t="n"/>
      <c r="Q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N295" s="5" t="n"/>
      <c r="O295" s="5" t="n"/>
      <c r="P295" s="5" t="n"/>
      <c r="Q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N296" s="5" t="n"/>
      <c r="O296" s="5" t="n"/>
      <c r="P296" s="5" t="n"/>
      <c r="Q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N297" s="5" t="n"/>
      <c r="O297" s="5" t="n"/>
      <c r="P297" s="5" t="n"/>
      <c r="Q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N298" s="5" t="n"/>
      <c r="O298" s="5" t="n"/>
      <c r="P298" s="5" t="n"/>
      <c r="Q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N299" s="5" t="n"/>
      <c r="O299" s="5" t="n"/>
      <c r="P299" s="5" t="n"/>
      <c r="Q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N300" s="5" t="n"/>
      <c r="O300" s="5" t="n"/>
      <c r="P300" s="5" t="n"/>
      <c r="Q300" s="5" t="n"/>
    </row>
    <row r="301">
      <c r="A301" t="inlineStr">
        <is>
          <t>WPN_0001</t>
        </is>
      </c>
      <c r="C301" t="inlineStr">
        <is>
          <t>AR</t>
        </is>
      </c>
      <c r="D301" t="inlineStr">
        <is>
          <t>HighEnd</t>
        </is>
      </c>
      <c r="E301" t="inlineStr">
        <is>
          <t>FALSE</t>
        </is>
      </c>
      <c r="F301" t="inlineStr">
        <is>
          <t>FALSE</t>
        </is>
      </c>
      <c r="M301" t="inlineStr">
        <is>
          <t>AR</t>
        </is>
      </c>
      <c r="O301" t="inlineStr">
        <is>
          <t>SRC_0001</t>
        </is>
      </c>
      <c r="Q301" t="inlineStr">
        <is>
          <t>TU_??</t>
        </is>
      </c>
    </row>
  </sheetData>
  <autoFilter ref="A1:O1"/>
  <dataValidations count="7">
    <dataValidation sqref="C2:C1000" showDropDown="0" showInputMessage="0" showErrorMessage="0" allowBlank="1" errorTitle="Valor inválido" error="Selecione um valor da lista." promptTitle="Validação" prompt="Escolha um valor válido." type="list">
      <formula1>=WeaponClassList</formula1>
    </dataValidation>
    <dataValidation sqref="D2:D1000" showDropDown="0" showInputMessage="0" showErrorMessage="0" allowBlank="1" errorTitle="Valor inválido" error="Selecione um valor da lista." promptTitle="Validação" prompt="Escolha um valor válido." type="list">
      <formula1>=RarityList</formula1>
    </dataValidation>
    <dataValidation sqref="E2:E1000" showDropDown="0" showInputMessage="0" showErrorMessage="0" allowBlank="1" errorTitle="Valor inválido" error="Selecione um valor da lista." promptTitle="Validação" prompt="Escolha um valor válido." type="list">
      <formula1>=BoolList</formula1>
    </dataValidation>
    <dataValidation sqref="F2:F1000" showDropDown="0" showInputMessage="0" showErrorMessage="0" allowBlank="1" errorTitle="Valor inválido" error="Selecione um valor da lista." promptTitle="Validação" prompt="Escolha um valor válido." type="list">
      <formula1>=BoolList</formula1>
    </dataValidation>
    <dataValidation sqref="J2:J1000" showDropDown="0" showInputMessage="0" showErrorMessage="0" allowBlank="1" errorTitle="Valor inválido" error="Selecione um valor da lista." promptTitle="Validação" prompt="Escolha um valor válido." type="list">
      <formula1>=TalentIdList</formula1>
    </dataValidation>
    <dataValidation sqref="O2:O1000" showDropDown="0" showInputMessage="0" showErrorMessage="0" allowBlank="1" errorTitle="Valor inválido" error="Selecione um valor da lista." promptTitle="Validação" prompt="Escolha um valor válido." type="list">
      <formula1>=SourceIdList</formula1>
    </dataValidation>
    <dataValidation sqref="Q2:Q1000" showDropDown="0" showInputMessage="0" showErrorMessage="0" allowBlank="1" errorTitle="Valor inválido" error="Selecione um valor da lista." promptTitle="Validação" prompt="Escolha um valor válido." type="list">
      <formula1>=PatchVersionList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4" customWidth="1" min="4" max="4"/>
    <col width="14" customWidth="1" min="5" max="5"/>
    <col width="10" customWidth="1" min="6" max="6"/>
    <col width="14" customWidth="1" min="7" max="7"/>
    <col width="18" customWidth="1" min="8" max="8"/>
    <col width="58" customWidth="1" min="9" max="9"/>
    <col width="16" customWidth="1" min="10" max="10"/>
    <col width="44" customWidth="1" min="11" max="11"/>
    <col width="20" customWidth="1" min="12" max="12"/>
  </cols>
  <sheetData>
    <row r="1" ht="28" customHeight="1">
      <c r="A1" s="6" t="inlineStr">
        <is>
          <t>TD2 Build Planner (Starter)</t>
        </is>
      </c>
    </row>
    <row r="2" ht="18" customHeight="1">
      <c r="A2" s="7" t="inlineStr">
        <is>
          <t>Preencha os IDs nas colunas amarelas. O resto puxa automático.</t>
        </is>
      </c>
    </row>
    <row r="4">
      <c r="A4" s="8" t="inlineStr">
        <is>
          <t>GEAR (6 peças)</t>
        </is>
      </c>
    </row>
    <row r="5" ht="28" customHeight="1">
      <c r="A5" s="4" t="inlineStr">
        <is>
          <t>slot</t>
        </is>
      </c>
      <c r="B5" s="4" t="inlineStr">
        <is>
          <t>item_id</t>
        </is>
      </c>
      <c r="C5" s="4" t="inlineStr">
        <is>
          <t>name</t>
        </is>
      </c>
      <c r="D5" s="4" t="inlineStr">
        <is>
          <t>brand_id</t>
        </is>
      </c>
      <c r="E5" s="4" t="inlineStr">
        <is>
          <t>set_id</t>
        </is>
      </c>
      <c r="F5" s="4" t="inlineStr">
        <is>
          <t>core_color</t>
        </is>
      </c>
      <c r="G5" s="4" t="inlineStr">
        <is>
          <t>talent_id</t>
        </is>
      </c>
      <c r="H5" s="4" t="inlineStr">
        <is>
          <t>talent_name</t>
        </is>
      </c>
      <c r="I5" s="4" t="inlineStr">
        <is>
          <t>talent_description</t>
        </is>
      </c>
      <c r="J5" s="4" t="inlineStr">
        <is>
          <t>target_loot_ref</t>
        </is>
      </c>
      <c r="K5" s="4" t="inlineStr">
        <is>
          <t>wiki_url</t>
        </is>
      </c>
      <c r="L5" s="4" t="inlineStr">
        <is>
          <t>notes</t>
        </is>
      </c>
    </row>
    <row r="6">
      <c r="A6" t="inlineStr">
        <is>
          <t>Mask</t>
        </is>
      </c>
      <c r="B6" s="9" t="n"/>
      <c r="C6">
        <f>IF($B6="","",IFERROR(VLOOKUP($B6,ITEMS_GEAR!$A:$S,2,FALSE),""))</f>
        <v/>
      </c>
      <c r="D6">
        <f>IF($B6="","",IFERROR(VLOOKUP($B6,ITEMS_GEAR!$A:$S,5,FALSE),""))</f>
        <v/>
      </c>
      <c r="E6">
        <f>IF($B6="","",IFERROR(VLOOKUP($B6,ITEMS_GEAR!$A:$S,6,FALSE),""))</f>
        <v/>
      </c>
      <c r="F6">
        <f>IF($B6="","",IFERROR(VLOOKUP($B6,ITEMS_GEAR!$A:$S,9,FALSE),""))</f>
        <v/>
      </c>
      <c r="G6">
        <f>IF($B6="","",IFERROR(VLOOKUP($B6,ITEMS_GEAR!$A:$S,12,FALSE),""))</f>
        <v/>
      </c>
      <c r="H6">
        <f>IF($G6="","",IFERROR(VLOOKUP($G6,TALENTS!$A:$J,2,FALSE),""))</f>
        <v/>
      </c>
      <c r="I6">
        <f>IF($G6="","",IFERROR(VLOOKUP($G6,TALENTS!$A:$J,4,FALSE),""))</f>
        <v/>
      </c>
      <c r="J6">
        <f>IF($B6="","",IFERROR(VLOOKUP($B6,ITEMS_GEAR!$A:$S,15,FALSE),""))</f>
        <v/>
      </c>
      <c r="K6">
        <f>IF($B6="","",IFERROR(VLOOKUP($B6,ITEMS_GEAR!$A:$S,14,FALSE),""))</f>
        <v/>
      </c>
      <c r="L6" s="10" t="n"/>
    </row>
    <row r="7">
      <c r="A7" t="inlineStr">
        <is>
          <t>Chest</t>
        </is>
      </c>
      <c r="B7" s="9" t="n"/>
      <c r="C7">
        <f>IF($B7="","",IFERROR(VLOOKUP($B7,ITEMS_GEAR!$A:$S,2,FALSE),""))</f>
        <v/>
      </c>
      <c r="D7">
        <f>IF($B7="","",IFERROR(VLOOKUP($B7,ITEMS_GEAR!$A:$S,5,FALSE),""))</f>
        <v/>
      </c>
      <c r="E7">
        <f>IF($B7="","",IFERROR(VLOOKUP($B7,ITEMS_GEAR!$A:$S,6,FALSE),""))</f>
        <v/>
      </c>
      <c r="F7">
        <f>IF($B7="","",IFERROR(VLOOKUP($B7,ITEMS_GEAR!$A:$S,9,FALSE),""))</f>
        <v/>
      </c>
      <c r="G7">
        <f>IF($B7="","",IFERROR(VLOOKUP($B7,ITEMS_GEAR!$A:$S,12,FALSE),""))</f>
        <v/>
      </c>
      <c r="H7">
        <f>IF($G7="","",IFERROR(VLOOKUP($G7,TALENTS!$A:$J,2,FALSE),""))</f>
        <v/>
      </c>
      <c r="I7">
        <f>IF($G7="","",IFERROR(VLOOKUP($G7,TALENTS!$A:$J,4,FALSE),""))</f>
        <v/>
      </c>
      <c r="J7">
        <f>IF($B7="","",IFERROR(VLOOKUP($B7,ITEMS_GEAR!$A:$S,15,FALSE),""))</f>
        <v/>
      </c>
      <c r="K7">
        <f>IF($B7="","",IFERROR(VLOOKUP($B7,ITEMS_GEAR!$A:$S,14,FALSE),""))</f>
        <v/>
      </c>
      <c r="L7" s="10" t="n"/>
    </row>
    <row r="8">
      <c r="A8" t="inlineStr">
        <is>
          <t>Backpack</t>
        </is>
      </c>
      <c r="B8" s="9" t="n"/>
      <c r="C8">
        <f>IF($B8="","",IFERROR(VLOOKUP($B8,ITEMS_GEAR!$A:$S,2,FALSE),""))</f>
        <v/>
      </c>
      <c r="D8">
        <f>IF($B8="","",IFERROR(VLOOKUP($B8,ITEMS_GEAR!$A:$S,5,FALSE),""))</f>
        <v/>
      </c>
      <c r="E8">
        <f>IF($B8="","",IFERROR(VLOOKUP($B8,ITEMS_GEAR!$A:$S,6,FALSE),""))</f>
        <v/>
      </c>
      <c r="F8">
        <f>IF($B8="","",IFERROR(VLOOKUP($B8,ITEMS_GEAR!$A:$S,9,FALSE),""))</f>
        <v/>
      </c>
      <c r="G8">
        <f>IF($B8="","",IFERROR(VLOOKUP($B8,ITEMS_GEAR!$A:$S,12,FALSE),""))</f>
        <v/>
      </c>
      <c r="H8">
        <f>IF($G8="","",IFERROR(VLOOKUP($G8,TALENTS!$A:$J,2,FALSE),""))</f>
        <v/>
      </c>
      <c r="I8">
        <f>IF($G8="","",IFERROR(VLOOKUP($G8,TALENTS!$A:$J,4,FALSE),""))</f>
        <v/>
      </c>
      <c r="J8">
        <f>IF($B8="","",IFERROR(VLOOKUP($B8,ITEMS_GEAR!$A:$S,15,FALSE),""))</f>
        <v/>
      </c>
      <c r="K8">
        <f>IF($B8="","",IFERROR(VLOOKUP($B8,ITEMS_GEAR!$A:$S,14,FALSE),""))</f>
        <v/>
      </c>
      <c r="L8" s="10" t="n"/>
    </row>
    <row r="9">
      <c r="A9" t="inlineStr">
        <is>
          <t>Gloves</t>
        </is>
      </c>
      <c r="B9" s="9" t="n"/>
      <c r="C9">
        <f>IF($B9="","",IFERROR(VLOOKUP($B9,ITEMS_GEAR!$A:$S,2,FALSE),""))</f>
        <v/>
      </c>
      <c r="D9">
        <f>IF($B9="","",IFERROR(VLOOKUP($B9,ITEMS_GEAR!$A:$S,5,FALSE),""))</f>
        <v/>
      </c>
      <c r="E9">
        <f>IF($B9="","",IFERROR(VLOOKUP($B9,ITEMS_GEAR!$A:$S,6,FALSE),""))</f>
        <v/>
      </c>
      <c r="F9">
        <f>IF($B9="","",IFERROR(VLOOKUP($B9,ITEMS_GEAR!$A:$S,9,FALSE),""))</f>
        <v/>
      </c>
      <c r="G9">
        <f>IF($B9="","",IFERROR(VLOOKUP($B9,ITEMS_GEAR!$A:$S,12,FALSE),""))</f>
        <v/>
      </c>
      <c r="H9">
        <f>IF($G9="","",IFERROR(VLOOKUP($G9,TALENTS!$A:$J,2,FALSE),""))</f>
        <v/>
      </c>
      <c r="I9">
        <f>IF($G9="","",IFERROR(VLOOKUP($G9,TALENTS!$A:$J,4,FALSE),""))</f>
        <v/>
      </c>
      <c r="J9">
        <f>IF($B9="","",IFERROR(VLOOKUP($B9,ITEMS_GEAR!$A:$S,15,FALSE),""))</f>
        <v/>
      </c>
      <c r="K9">
        <f>IF($B9="","",IFERROR(VLOOKUP($B9,ITEMS_GEAR!$A:$S,14,FALSE),""))</f>
        <v/>
      </c>
      <c r="L9" s="10" t="n"/>
    </row>
    <row r="10">
      <c r="A10" t="inlineStr">
        <is>
          <t>Holster</t>
        </is>
      </c>
      <c r="B10" s="9" t="n"/>
      <c r="C10">
        <f>IF($B10="","",IFERROR(VLOOKUP($B10,ITEMS_GEAR!$A:$S,2,FALSE),""))</f>
        <v/>
      </c>
      <c r="D10">
        <f>IF($B10="","",IFERROR(VLOOKUP($B10,ITEMS_GEAR!$A:$S,5,FALSE),""))</f>
        <v/>
      </c>
      <c r="E10">
        <f>IF($B10="","",IFERROR(VLOOKUP($B10,ITEMS_GEAR!$A:$S,6,FALSE),""))</f>
        <v/>
      </c>
      <c r="F10">
        <f>IF($B10="","",IFERROR(VLOOKUP($B10,ITEMS_GEAR!$A:$S,9,FALSE),""))</f>
        <v/>
      </c>
      <c r="G10">
        <f>IF($B10="","",IFERROR(VLOOKUP($B10,ITEMS_GEAR!$A:$S,12,FALSE),""))</f>
        <v/>
      </c>
      <c r="H10">
        <f>IF($G10="","",IFERROR(VLOOKUP($G10,TALENTS!$A:$J,2,FALSE),""))</f>
        <v/>
      </c>
      <c r="I10">
        <f>IF($G10="","",IFERROR(VLOOKUP($G10,TALENTS!$A:$J,4,FALSE),""))</f>
        <v/>
      </c>
      <c r="J10">
        <f>IF($B10="","",IFERROR(VLOOKUP($B10,ITEMS_GEAR!$A:$S,15,FALSE),""))</f>
        <v/>
      </c>
      <c r="K10">
        <f>IF($B10="","",IFERROR(VLOOKUP($B10,ITEMS_GEAR!$A:$S,14,FALSE),""))</f>
        <v/>
      </c>
      <c r="L10" s="10" t="n"/>
    </row>
    <row r="11">
      <c r="A11" t="inlineStr">
        <is>
          <t>Kneepads</t>
        </is>
      </c>
      <c r="B11" s="9" t="n"/>
      <c r="C11">
        <f>IF($B11="","",IFERROR(VLOOKUP($B11,ITEMS_GEAR!$A:$S,2,FALSE),""))</f>
        <v/>
      </c>
      <c r="D11">
        <f>IF($B11="","",IFERROR(VLOOKUP($B11,ITEMS_GEAR!$A:$S,5,FALSE),""))</f>
        <v/>
      </c>
      <c r="E11">
        <f>IF($B11="","",IFERROR(VLOOKUP($B11,ITEMS_GEAR!$A:$S,6,FALSE),""))</f>
        <v/>
      </c>
      <c r="F11">
        <f>IF($B11="","",IFERROR(VLOOKUP($B11,ITEMS_GEAR!$A:$S,9,FALSE),""))</f>
        <v/>
      </c>
      <c r="G11">
        <f>IF($B11="","",IFERROR(VLOOKUP($B11,ITEMS_GEAR!$A:$S,12,FALSE),""))</f>
        <v/>
      </c>
      <c r="H11">
        <f>IF($G11="","",IFERROR(VLOOKUP($G11,TALENTS!$A:$J,2,FALSE),""))</f>
        <v/>
      </c>
      <c r="I11">
        <f>IF($G11="","",IFERROR(VLOOKUP($G11,TALENTS!$A:$J,4,FALSE),""))</f>
        <v/>
      </c>
      <c r="J11">
        <f>IF($B11="","",IFERROR(VLOOKUP($B11,ITEMS_GEAR!$A:$S,15,FALSE),""))</f>
        <v/>
      </c>
      <c r="K11">
        <f>IF($B11="","",IFERROR(VLOOKUP($B11,ITEMS_GEAR!$A:$S,14,FALSE),""))</f>
        <v/>
      </c>
      <c r="L11" s="10" t="n"/>
    </row>
    <row r="13">
      <c r="A13" s="11" t="inlineStr">
        <is>
          <t>CORE COUNT</t>
        </is>
      </c>
      <c r="B13" t="inlineStr">
        <is>
          <t>Red</t>
        </is>
      </c>
      <c r="C13" t="inlineStr">
        <is>
          <t>Blue</t>
        </is>
      </c>
      <c r="D13" t="inlineStr">
        <is>
          <t>Yellow</t>
        </is>
      </c>
    </row>
    <row r="14">
      <c r="B14">
        <f>COUNTIF($F$6:$F$11,"Red")</f>
        <v/>
      </c>
      <c r="C14">
        <f>COUNTIF($F$6:$F$11,"Blue")</f>
        <v/>
      </c>
      <c r="D14">
        <f>COUNTIF($F$6:$F$11,"Yellow")</f>
        <v/>
      </c>
    </row>
    <row r="16">
      <c r="A16" s="8" t="inlineStr">
        <is>
          <t>BRAND SUMMARY (auto - filtra pelos com Pieces &gt; 0)</t>
        </is>
      </c>
    </row>
    <row r="17" ht="24" customHeight="1">
      <c r="A17" s="12" t="inlineStr">
        <is>
          <t>brand_id</t>
        </is>
      </c>
      <c r="B17" s="12" t="inlineStr">
        <is>
          <t>brand_name</t>
        </is>
      </c>
      <c r="C17" s="12" t="inlineStr">
        <is>
          <t>pieces</t>
        </is>
      </c>
      <c r="D17" s="12" t="inlineStr">
        <is>
          <t>bonus_1</t>
        </is>
      </c>
      <c r="E17" s="12" t="inlineStr">
        <is>
          <t>bonus_2</t>
        </is>
      </c>
      <c r="F17" s="12" t="inlineStr">
        <is>
          <t>bonus_3</t>
        </is>
      </c>
    </row>
    <row r="18">
      <c r="A18">
        <f>BRANDS!A2</f>
        <v/>
      </c>
      <c r="B18">
        <f>BRANDS!B2</f>
        <v/>
      </c>
      <c r="C18">
        <f>COUNTIF($D$6:$D$11,$A18)</f>
        <v/>
      </c>
      <c r="D18">
        <f>IF($C18&gt;=1,BRANDS!E2,"")</f>
        <v/>
      </c>
      <c r="E18">
        <f>IF($C18&gt;=2,BRANDS!F2,"")</f>
        <v/>
      </c>
      <c r="F18">
        <f>IF($C18&gt;=3,BRANDS!G2,"")</f>
        <v/>
      </c>
    </row>
    <row r="19">
      <c r="A19">
        <f>BRANDS!A3</f>
        <v/>
      </c>
      <c r="B19">
        <f>BRANDS!B3</f>
        <v/>
      </c>
      <c r="C19">
        <f>COUNTIF($D$6:$D$11,$A19)</f>
        <v/>
      </c>
      <c r="D19">
        <f>IF($C19&gt;=1,BRANDS!E3,"")</f>
        <v/>
      </c>
      <c r="E19">
        <f>IF($C19&gt;=2,BRANDS!F3,"")</f>
        <v/>
      </c>
      <c r="F19">
        <f>IF($C19&gt;=3,BRANDS!G3,"")</f>
        <v/>
      </c>
    </row>
    <row r="20">
      <c r="A20">
        <f>BRANDS!A4</f>
        <v/>
      </c>
      <c r="B20">
        <f>BRANDS!B4</f>
        <v/>
      </c>
      <c r="C20">
        <f>COUNTIF($D$6:$D$11,$A20)</f>
        <v/>
      </c>
      <c r="D20">
        <f>IF($C20&gt;=1,BRANDS!E4,"")</f>
        <v/>
      </c>
      <c r="E20">
        <f>IF($C20&gt;=2,BRANDS!F4,"")</f>
        <v/>
      </c>
      <c r="F20">
        <f>IF($C20&gt;=3,BRANDS!G4,"")</f>
        <v/>
      </c>
    </row>
    <row r="21">
      <c r="A21">
        <f>BRANDS!A5</f>
        <v/>
      </c>
      <c r="B21">
        <f>BRANDS!B5</f>
        <v/>
      </c>
      <c r="C21">
        <f>COUNTIF($D$6:$D$11,$A21)</f>
        <v/>
      </c>
      <c r="D21">
        <f>IF($C21&gt;=1,BRANDS!E5,"")</f>
        <v/>
      </c>
      <c r="E21">
        <f>IF($C21&gt;=2,BRANDS!F5,"")</f>
        <v/>
      </c>
      <c r="F21">
        <f>IF($C21&gt;=3,BRANDS!G5,"")</f>
        <v/>
      </c>
    </row>
    <row r="22">
      <c r="A22">
        <f>BRANDS!A6</f>
        <v/>
      </c>
      <c r="B22">
        <f>BRANDS!B6</f>
        <v/>
      </c>
      <c r="C22">
        <f>COUNTIF($D$6:$D$11,$A22)</f>
        <v/>
      </c>
      <c r="D22">
        <f>IF($C22&gt;=1,BRANDS!E6,"")</f>
        <v/>
      </c>
      <c r="E22">
        <f>IF($C22&gt;=2,BRANDS!F6,"")</f>
        <v/>
      </c>
      <c r="F22">
        <f>IF($C22&gt;=3,BRANDS!G6,"")</f>
        <v/>
      </c>
    </row>
    <row r="23">
      <c r="A23">
        <f>BRANDS!A7</f>
        <v/>
      </c>
      <c r="B23">
        <f>BRANDS!B7</f>
        <v/>
      </c>
      <c r="C23">
        <f>COUNTIF($D$6:$D$11,$A23)</f>
        <v/>
      </c>
      <c r="D23">
        <f>IF($C23&gt;=1,BRANDS!E7,"")</f>
        <v/>
      </c>
      <c r="E23">
        <f>IF($C23&gt;=2,BRANDS!F7,"")</f>
        <v/>
      </c>
      <c r="F23">
        <f>IF($C23&gt;=3,BRANDS!G7,"")</f>
        <v/>
      </c>
    </row>
    <row r="24">
      <c r="A24">
        <f>BRANDS!A8</f>
        <v/>
      </c>
      <c r="B24">
        <f>BRANDS!B8</f>
        <v/>
      </c>
      <c r="C24">
        <f>COUNTIF($D$6:$D$11,$A24)</f>
        <v/>
      </c>
      <c r="D24">
        <f>IF($C24&gt;=1,BRANDS!E8,"")</f>
        <v/>
      </c>
      <c r="E24">
        <f>IF($C24&gt;=2,BRANDS!F8,"")</f>
        <v/>
      </c>
      <c r="F24">
        <f>IF($C24&gt;=3,BRANDS!G8,"")</f>
        <v/>
      </c>
    </row>
    <row r="25">
      <c r="A25">
        <f>BRANDS!A9</f>
        <v/>
      </c>
      <c r="B25">
        <f>BRANDS!B9</f>
        <v/>
      </c>
      <c r="C25">
        <f>COUNTIF($D$6:$D$11,$A25)</f>
        <v/>
      </c>
      <c r="D25">
        <f>IF($C25&gt;=1,BRANDS!E9,"")</f>
        <v/>
      </c>
      <c r="E25">
        <f>IF($C25&gt;=2,BRANDS!F9,"")</f>
        <v/>
      </c>
      <c r="F25">
        <f>IF($C25&gt;=3,BRANDS!G9,"")</f>
        <v/>
      </c>
    </row>
    <row r="26">
      <c r="A26">
        <f>BRANDS!A10</f>
        <v/>
      </c>
      <c r="B26">
        <f>BRANDS!B10</f>
        <v/>
      </c>
      <c r="C26">
        <f>COUNTIF($D$6:$D$11,$A26)</f>
        <v/>
      </c>
      <c r="D26">
        <f>IF($C26&gt;=1,BRANDS!E10,"")</f>
        <v/>
      </c>
      <c r="E26">
        <f>IF($C26&gt;=2,BRANDS!F10,"")</f>
        <v/>
      </c>
      <c r="F26">
        <f>IF($C26&gt;=3,BRANDS!G10,"")</f>
        <v/>
      </c>
    </row>
    <row r="27">
      <c r="A27">
        <f>BRANDS!A11</f>
        <v/>
      </c>
      <c r="B27">
        <f>BRANDS!B11</f>
        <v/>
      </c>
      <c r="C27">
        <f>COUNTIF($D$6:$D$11,$A27)</f>
        <v/>
      </c>
      <c r="D27">
        <f>IF($C27&gt;=1,BRANDS!E11,"")</f>
        <v/>
      </c>
      <c r="E27">
        <f>IF($C27&gt;=2,BRANDS!F11,"")</f>
        <v/>
      </c>
      <c r="F27">
        <f>IF($C27&gt;=3,BRANDS!G11,"")</f>
        <v/>
      </c>
    </row>
    <row r="28">
      <c r="A28">
        <f>BRANDS!A12</f>
        <v/>
      </c>
      <c r="B28">
        <f>BRANDS!B12</f>
        <v/>
      </c>
      <c r="C28">
        <f>COUNTIF($D$6:$D$11,$A28)</f>
        <v/>
      </c>
      <c r="D28">
        <f>IF($C28&gt;=1,BRANDS!E12,"")</f>
        <v/>
      </c>
      <c r="E28">
        <f>IF($C28&gt;=2,BRANDS!F12,"")</f>
        <v/>
      </c>
      <c r="F28">
        <f>IF($C28&gt;=3,BRANDS!G12,"")</f>
        <v/>
      </c>
    </row>
    <row r="29">
      <c r="A29">
        <f>BRANDS!A13</f>
        <v/>
      </c>
      <c r="B29">
        <f>BRANDS!B13</f>
        <v/>
      </c>
      <c r="C29">
        <f>COUNTIF($D$6:$D$11,$A29)</f>
        <v/>
      </c>
      <c r="D29">
        <f>IF($C29&gt;=1,BRANDS!E13,"")</f>
        <v/>
      </c>
      <c r="E29">
        <f>IF($C29&gt;=2,BRANDS!F13,"")</f>
        <v/>
      </c>
      <c r="F29">
        <f>IF($C29&gt;=3,BRANDS!G13,"")</f>
        <v/>
      </c>
    </row>
    <row r="30">
      <c r="A30">
        <f>BRANDS!A14</f>
        <v/>
      </c>
      <c r="B30">
        <f>BRANDS!B14</f>
        <v/>
      </c>
      <c r="C30">
        <f>COUNTIF($D$6:$D$11,$A30)</f>
        <v/>
      </c>
      <c r="D30">
        <f>IF($C30&gt;=1,BRANDS!E14,"")</f>
        <v/>
      </c>
      <c r="E30">
        <f>IF($C30&gt;=2,BRANDS!F14,"")</f>
        <v/>
      </c>
      <c r="F30">
        <f>IF($C30&gt;=3,BRANDS!G14,"")</f>
        <v/>
      </c>
    </row>
    <row r="31">
      <c r="A31">
        <f>BRANDS!A15</f>
        <v/>
      </c>
      <c r="B31">
        <f>BRANDS!B15</f>
        <v/>
      </c>
      <c r="C31">
        <f>COUNTIF($D$6:$D$11,$A31)</f>
        <v/>
      </c>
      <c r="D31">
        <f>IF($C31&gt;=1,BRANDS!E15,"")</f>
        <v/>
      </c>
      <c r="E31">
        <f>IF($C31&gt;=2,BRANDS!F15,"")</f>
        <v/>
      </c>
      <c r="F31">
        <f>IF($C31&gt;=3,BRANDS!G15,"")</f>
        <v/>
      </c>
    </row>
    <row r="32">
      <c r="A32">
        <f>BRANDS!A16</f>
        <v/>
      </c>
      <c r="B32">
        <f>BRANDS!B16</f>
        <v/>
      </c>
      <c r="C32">
        <f>COUNTIF($D$6:$D$11,$A32)</f>
        <v/>
      </c>
      <c r="D32">
        <f>IF($C32&gt;=1,BRANDS!E16,"")</f>
        <v/>
      </c>
      <c r="E32">
        <f>IF($C32&gt;=2,BRANDS!F16,"")</f>
        <v/>
      </c>
      <c r="F32">
        <f>IF($C32&gt;=3,BRANDS!G16,"")</f>
        <v/>
      </c>
    </row>
    <row r="35">
      <c r="A35" s="8" t="inlineStr">
        <is>
          <t>GEAR SET SUMMARY (Pieces &gt;= 2)</t>
        </is>
      </c>
    </row>
    <row r="36" ht="24" customHeight="1">
      <c r="A36" s="12" t="inlineStr">
        <is>
          <t>set_id</t>
        </is>
      </c>
      <c r="B36" s="12" t="inlineStr">
        <is>
          <t>set_name</t>
        </is>
      </c>
      <c r="C36" s="12" t="inlineStr">
        <is>
          <t>pieces</t>
        </is>
      </c>
      <c r="D36" s="12" t="inlineStr">
        <is>
          <t>bonus_2</t>
        </is>
      </c>
      <c r="E36" s="12" t="inlineStr">
        <is>
          <t>bonus_3</t>
        </is>
      </c>
      <c r="F36" s="12" t="inlineStr">
        <is>
          <t>bonus_4</t>
        </is>
      </c>
      <c r="G36" s="12" t="inlineStr">
        <is>
          <t>wiki_url</t>
        </is>
      </c>
    </row>
    <row r="37">
      <c r="A37">
        <f>GEAR_SETS!A2</f>
        <v/>
      </c>
      <c r="B37">
        <f>GEAR_SETS!B2</f>
        <v/>
      </c>
      <c r="C37">
        <f>COUNTIF($E$6:$E$11,$A37)</f>
        <v/>
      </c>
      <c r="D37">
        <f>IF($C37&gt;=2,GEAR_SETS!E2,"")</f>
        <v/>
      </c>
      <c r="E37">
        <f>IF($C37&gt;=3,GEAR_SETS!F2,"")</f>
        <v/>
      </c>
      <c r="F37">
        <f>IF($C37&gt;=4,GEAR_SETS!G2,"")</f>
        <v/>
      </c>
      <c r="G37">
        <f>GEAR_SETS!C2</f>
        <v/>
      </c>
    </row>
    <row r="38">
      <c r="A38">
        <f>GEAR_SETS!A3</f>
        <v/>
      </c>
      <c r="B38">
        <f>GEAR_SETS!B3</f>
        <v/>
      </c>
      <c r="C38">
        <f>COUNTIF($E$6:$E$11,$A38)</f>
        <v/>
      </c>
      <c r="D38">
        <f>IF($C38&gt;=2,GEAR_SETS!E3,"")</f>
        <v/>
      </c>
      <c r="E38">
        <f>IF($C38&gt;=3,GEAR_SETS!F3,"")</f>
        <v/>
      </c>
      <c r="F38">
        <f>IF($C38&gt;=4,GEAR_SETS!G3,"")</f>
        <v/>
      </c>
      <c r="G38">
        <f>GEAR_SETS!C3</f>
        <v/>
      </c>
    </row>
    <row r="39">
      <c r="A39">
        <f>GEAR_SETS!A4</f>
        <v/>
      </c>
      <c r="B39">
        <f>GEAR_SETS!B4</f>
        <v/>
      </c>
      <c r="C39">
        <f>COUNTIF($E$6:$E$11,$A39)</f>
        <v/>
      </c>
      <c r="D39">
        <f>IF($C39&gt;=2,GEAR_SETS!E4,"")</f>
        <v/>
      </c>
      <c r="E39">
        <f>IF($C39&gt;=3,GEAR_SETS!F4,"")</f>
        <v/>
      </c>
      <c r="F39">
        <f>IF($C39&gt;=4,GEAR_SETS!G4,"")</f>
        <v/>
      </c>
      <c r="G39">
        <f>GEAR_SETS!C4</f>
        <v/>
      </c>
    </row>
    <row r="40">
      <c r="A40">
        <f>GEAR_SETS!A5</f>
        <v/>
      </c>
      <c r="B40">
        <f>GEAR_SETS!B5</f>
        <v/>
      </c>
      <c r="C40">
        <f>COUNTIF($E$6:$E$11,$A40)</f>
        <v/>
      </c>
      <c r="D40">
        <f>IF($C40&gt;=2,GEAR_SETS!E5,"")</f>
        <v/>
      </c>
      <c r="E40">
        <f>IF($C40&gt;=3,GEAR_SETS!F5,"")</f>
        <v/>
      </c>
      <c r="F40">
        <f>IF($C40&gt;=4,GEAR_SETS!G5,"")</f>
        <v/>
      </c>
      <c r="G40">
        <f>GEAR_SETS!C5</f>
        <v/>
      </c>
    </row>
    <row r="41">
      <c r="A41">
        <f>GEAR_SETS!A6</f>
        <v/>
      </c>
      <c r="B41">
        <f>GEAR_SETS!B6</f>
        <v/>
      </c>
      <c r="C41">
        <f>COUNTIF($E$6:$E$11,$A41)</f>
        <v/>
      </c>
      <c r="D41">
        <f>IF($C41&gt;=2,GEAR_SETS!E6,"")</f>
        <v/>
      </c>
      <c r="E41">
        <f>IF($C41&gt;=3,GEAR_SETS!F6,"")</f>
        <v/>
      </c>
      <c r="F41">
        <f>IF($C41&gt;=4,GEAR_SETS!G6,"")</f>
        <v/>
      </c>
      <c r="G41">
        <f>GEAR_SETS!C6</f>
        <v/>
      </c>
    </row>
    <row r="42">
      <c r="A42">
        <f>GEAR_SETS!A7</f>
        <v/>
      </c>
      <c r="B42">
        <f>GEAR_SETS!B7</f>
        <v/>
      </c>
      <c r="C42">
        <f>COUNTIF($E$6:$E$11,$A42)</f>
        <v/>
      </c>
      <c r="D42">
        <f>IF($C42&gt;=2,GEAR_SETS!E7,"")</f>
        <v/>
      </c>
      <c r="E42">
        <f>IF($C42&gt;=3,GEAR_SETS!F7,"")</f>
        <v/>
      </c>
      <c r="F42">
        <f>IF($C42&gt;=4,GEAR_SETS!G7,"")</f>
        <v/>
      </c>
      <c r="G42">
        <f>GEAR_SETS!C7</f>
        <v/>
      </c>
    </row>
    <row r="43">
      <c r="A43">
        <f>GEAR_SETS!A8</f>
        <v/>
      </c>
      <c r="B43">
        <f>GEAR_SETS!B8</f>
        <v/>
      </c>
      <c r="C43">
        <f>COUNTIF($E$6:$E$11,$A43)</f>
        <v/>
      </c>
      <c r="D43">
        <f>IF($C43&gt;=2,GEAR_SETS!E8,"")</f>
        <v/>
      </c>
      <c r="E43">
        <f>IF($C43&gt;=3,GEAR_SETS!F8,"")</f>
        <v/>
      </c>
      <c r="F43">
        <f>IF($C43&gt;=4,GEAR_SETS!G8,"")</f>
        <v/>
      </c>
      <c r="G43">
        <f>GEAR_SETS!C8</f>
        <v/>
      </c>
    </row>
    <row r="44">
      <c r="A44">
        <f>GEAR_SETS!A9</f>
        <v/>
      </c>
      <c r="B44">
        <f>GEAR_SETS!B9</f>
        <v/>
      </c>
      <c r="C44">
        <f>COUNTIF($E$6:$E$11,$A44)</f>
        <v/>
      </c>
      <c r="D44">
        <f>IF($C44&gt;=2,GEAR_SETS!E9,"")</f>
        <v/>
      </c>
      <c r="E44">
        <f>IF($C44&gt;=3,GEAR_SETS!F9,"")</f>
        <v/>
      </c>
      <c r="F44">
        <f>IF($C44&gt;=4,GEAR_SETS!G9,"")</f>
        <v/>
      </c>
      <c r="G44">
        <f>GEAR_SETS!C9</f>
        <v/>
      </c>
    </row>
    <row r="45">
      <c r="A45">
        <f>GEAR_SETS!A10</f>
        <v/>
      </c>
      <c r="B45">
        <f>GEAR_SETS!B10</f>
        <v/>
      </c>
      <c r="C45">
        <f>COUNTIF($E$6:$E$11,$A45)</f>
        <v/>
      </c>
      <c r="D45">
        <f>IF($C45&gt;=2,GEAR_SETS!E10,"")</f>
        <v/>
      </c>
      <c r="E45">
        <f>IF($C45&gt;=3,GEAR_SETS!F10,"")</f>
        <v/>
      </c>
      <c r="F45">
        <f>IF($C45&gt;=4,GEAR_SETS!G10,"")</f>
        <v/>
      </c>
      <c r="G45">
        <f>GEAR_SETS!C10</f>
        <v/>
      </c>
    </row>
    <row r="48">
      <c r="A48" s="8" t="inlineStr">
        <is>
          <t>WEAPONS</t>
        </is>
      </c>
    </row>
    <row r="49" ht="24" customHeight="1">
      <c r="A49" s="12" t="inlineStr">
        <is>
          <t>slot</t>
        </is>
      </c>
      <c r="B49" s="12" t="inlineStr">
        <is>
          <t>weapon_id</t>
        </is>
      </c>
      <c r="C49" s="12" t="inlineStr">
        <is>
          <t>name</t>
        </is>
      </c>
      <c r="D49" s="12" t="inlineStr">
        <is>
          <t>class</t>
        </is>
      </c>
      <c r="E49" s="12" t="inlineStr">
        <is>
          <t>talent_id</t>
        </is>
      </c>
      <c r="F49" s="12" t="inlineStr">
        <is>
          <t>talent_name</t>
        </is>
      </c>
      <c r="G49" s="12" t="inlineStr">
        <is>
          <t>talent_description</t>
        </is>
      </c>
      <c r="H49" s="12" t="inlineStr">
        <is>
          <t>target_loot_ref</t>
        </is>
      </c>
      <c r="I49" s="12" t="inlineStr">
        <is>
          <t>wiki_url</t>
        </is>
      </c>
      <c r="J49" s="12" t="inlineStr">
        <is>
          <t>notes</t>
        </is>
      </c>
    </row>
    <row r="50">
      <c r="A50" t="inlineStr">
        <is>
          <t>Primary</t>
        </is>
      </c>
      <c r="B50" s="9" t="n"/>
      <c r="C50">
        <f>IF($B50="","",IFERROR(VLOOKUP($B50,WEAPONS!$A:$Q,2,FALSE),""))</f>
        <v/>
      </c>
      <c r="D50">
        <f>IF($B50="","",IFERROR(VLOOKUP($B50,WEAPONS!$A:$Q,3,FALSE),""))</f>
        <v/>
      </c>
      <c r="E50">
        <f>IF($B50="","",IFERROR(VLOOKUP($B50,WEAPONS!$A:$Q,10,FALSE),""))</f>
        <v/>
      </c>
      <c r="F50">
        <f>IF($E50="","",IFERROR(VLOOKUP($E50,TALENTS!$A:$J,2,FALSE),""))</f>
        <v/>
      </c>
      <c r="G50">
        <f>IF($E50="","",IFERROR(VLOOKUP($E50,TALENTS!$A:$J,4,FALSE),""))</f>
        <v/>
      </c>
      <c r="H50">
        <f>IF($B50="","",IFERROR(VLOOKUP($B50,WEAPONS!$A:$Q,13,FALSE),""))</f>
        <v/>
      </c>
      <c r="I50">
        <f>IF($B50="","",IFERROR(VLOOKUP($B50,WEAPONS!$A:$Q,12,FALSE),""))</f>
        <v/>
      </c>
    </row>
    <row r="51">
      <c r="A51" t="inlineStr">
        <is>
          <t>Secondary</t>
        </is>
      </c>
      <c r="B51" s="9" t="n"/>
      <c r="C51">
        <f>IF($B51="","",IFERROR(VLOOKUP($B51,WEAPONS!$A:$Q,2,FALSE),""))</f>
        <v/>
      </c>
      <c r="D51">
        <f>IF($B51="","",IFERROR(VLOOKUP($B51,WEAPONS!$A:$Q,3,FALSE),""))</f>
        <v/>
      </c>
      <c r="E51">
        <f>IF($B51="","",IFERROR(VLOOKUP($B51,WEAPONS!$A:$Q,10,FALSE),""))</f>
        <v/>
      </c>
      <c r="F51">
        <f>IF($E51="","",IFERROR(VLOOKUP($E51,TALENTS!$A:$J,2,FALSE),""))</f>
        <v/>
      </c>
      <c r="G51">
        <f>IF($E51="","",IFERROR(VLOOKUP($E51,TALENTS!$A:$J,4,FALSE),""))</f>
        <v/>
      </c>
      <c r="H51">
        <f>IF($B51="","",IFERROR(VLOOKUP($B51,WEAPONS!$A:$Q,13,FALSE),""))</f>
        <v/>
      </c>
      <c r="I51">
        <f>IF($B51="","",IFERROR(VLOOKUP($B51,WEAPONS!$A:$Q,12,FALSE),""))</f>
        <v/>
      </c>
    </row>
  </sheetData>
  <mergeCells count="6">
    <mergeCell ref="A16:F16"/>
    <mergeCell ref="A2:L2"/>
    <mergeCell ref="A1:L1"/>
    <mergeCell ref="A35:G35"/>
    <mergeCell ref="A48:J48"/>
    <mergeCell ref="A4:L4"/>
  </mergeCells>
  <dataValidations count="2">
    <dataValidation sqref="B6:B11" showDropDown="0" showInputMessage="0" showErrorMessage="0" allowBlank="1" errorTitle="Valor inválido" error="Selecione um valor da lista." promptTitle="Validação" prompt="Escolha um valor válido." type="list">
      <formula1>=GearItemIdList</formula1>
    </dataValidation>
    <dataValidation sqref="B50:B51" showDropDown="0" showInputMessage="0" showErrorMessage="0" allowBlank="1" errorTitle="Valor inválido" error="Selecione um valor da lista." promptTitle="Validação" prompt="Escolha um valor válido." type="list">
      <formula1>=WeaponIdList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16" customWidth="1" min="4" max="4"/>
    <col width="22" customWidth="1" min="5" max="5"/>
    <col width="44" customWidth="1" min="6" max="6"/>
    <col width="28" customWidth="1" min="7" max="7"/>
  </cols>
  <sheetData>
    <row r="1" ht="24" customHeight="1">
      <c r="A1" s="13" t="inlineStr">
        <is>
          <t>Targeted Loot Log (manual)</t>
        </is>
      </c>
    </row>
    <row r="2">
      <c r="A2" s="12" t="inlineStr">
        <is>
          <t>date</t>
        </is>
      </c>
      <c r="B2" s="12" t="inlineStr">
        <is>
          <t>location_type</t>
        </is>
      </c>
      <c r="C2" s="12" t="inlineStr">
        <is>
          <t>location_name</t>
        </is>
      </c>
      <c r="D2" s="12" t="inlineStr">
        <is>
          <t>target_loot_ref</t>
        </is>
      </c>
      <c r="E2" s="12" t="inlineStr">
        <is>
          <t>target_loot_name</t>
        </is>
      </c>
      <c r="F2" s="12" t="inlineStr">
        <is>
          <t>source_url</t>
        </is>
      </c>
      <c r="G2" s="12" t="inlineStr">
        <is>
          <t>notes</t>
        </is>
      </c>
    </row>
    <row r="3">
      <c r="A3" s="14" t="n"/>
      <c r="B3" s="14" t="n"/>
      <c r="C3" s="14" t="n"/>
      <c r="D3" s="14" t="n"/>
      <c r="E3" s="14" t="n"/>
      <c r="F3" s="14" t="n"/>
    </row>
    <row r="4">
      <c r="A4" s="14" t="n"/>
      <c r="B4" s="14" t="n"/>
      <c r="C4" s="14" t="n"/>
      <c r="D4" s="14" t="n"/>
      <c r="E4" s="14" t="n"/>
      <c r="F4" s="14" t="n"/>
    </row>
    <row r="5">
      <c r="A5" s="14" t="n"/>
      <c r="B5" s="14" t="n"/>
      <c r="C5" s="14" t="n"/>
      <c r="D5" s="14" t="n"/>
      <c r="E5" s="14" t="n"/>
      <c r="F5" s="14" t="n"/>
    </row>
    <row r="6">
      <c r="A6" s="14" t="n"/>
      <c r="B6" s="14" t="n"/>
      <c r="C6" s="14" t="n"/>
      <c r="D6" s="14" t="n"/>
      <c r="E6" s="14" t="n"/>
      <c r="F6" s="14" t="n"/>
    </row>
    <row r="7">
      <c r="A7" s="14" t="n"/>
      <c r="B7" s="14" t="n"/>
      <c r="C7" s="14" t="n"/>
      <c r="D7" s="14" t="n"/>
      <c r="E7" s="14" t="n"/>
      <c r="F7" s="14" t="n"/>
    </row>
    <row r="8">
      <c r="A8" s="14" t="n"/>
      <c r="B8" s="14" t="n"/>
      <c r="C8" s="14" t="n"/>
      <c r="D8" s="14" t="n"/>
      <c r="E8" s="14" t="n"/>
      <c r="F8" s="14" t="n"/>
    </row>
    <row r="9">
      <c r="A9" s="14" t="n"/>
      <c r="B9" s="14" t="n"/>
      <c r="C9" s="14" t="n"/>
      <c r="D9" s="14" t="n"/>
      <c r="E9" s="14" t="n"/>
      <c r="F9" s="14" t="n"/>
    </row>
    <row r="10">
      <c r="A10" s="14" t="n"/>
      <c r="B10" s="14" t="n"/>
      <c r="C10" s="14" t="n"/>
      <c r="D10" s="14" t="n"/>
      <c r="E10" s="14" t="n"/>
      <c r="F10" s="14" t="n"/>
    </row>
    <row r="11">
      <c r="A11" s="14" t="n"/>
      <c r="B11" s="14" t="n"/>
      <c r="C11" s="14" t="n"/>
      <c r="D11" s="14" t="n"/>
      <c r="E11" s="14" t="n"/>
      <c r="F11" s="14" t="n"/>
    </row>
    <row r="12">
      <c r="A12" s="14" t="n"/>
      <c r="B12" s="14" t="n"/>
      <c r="C12" s="14" t="n"/>
      <c r="D12" s="14" t="n"/>
      <c r="E12" s="14" t="n"/>
      <c r="F12" s="14" t="n"/>
    </row>
    <row r="13">
      <c r="A13" s="14" t="n"/>
      <c r="B13" s="14" t="n"/>
      <c r="C13" s="14" t="n"/>
      <c r="D13" s="14" t="n"/>
      <c r="E13" s="14" t="n"/>
      <c r="F13" s="14" t="n"/>
    </row>
    <row r="14">
      <c r="A14" s="14" t="n"/>
      <c r="B14" s="14" t="n"/>
      <c r="C14" s="14" t="n"/>
      <c r="D14" s="14" t="n"/>
      <c r="E14" s="14" t="n"/>
      <c r="F14" s="14" t="n"/>
    </row>
    <row r="15">
      <c r="A15" s="14" t="n"/>
      <c r="B15" s="14" t="n"/>
      <c r="C15" s="14" t="n"/>
      <c r="D15" s="14" t="n"/>
      <c r="E15" s="14" t="n"/>
      <c r="F15" s="14" t="n"/>
    </row>
    <row r="16">
      <c r="A16" s="14" t="n"/>
      <c r="B16" s="14" t="n"/>
      <c r="C16" s="14" t="n"/>
      <c r="D16" s="14" t="n"/>
      <c r="E16" s="14" t="n"/>
      <c r="F16" s="14" t="n"/>
    </row>
    <row r="17">
      <c r="A17" s="14" t="n"/>
      <c r="B17" s="14" t="n"/>
      <c r="C17" s="14" t="n"/>
      <c r="D17" s="14" t="n"/>
      <c r="E17" s="14" t="n"/>
      <c r="F17" s="14" t="n"/>
    </row>
    <row r="18">
      <c r="A18" s="14" t="n"/>
      <c r="B18" s="14" t="n"/>
      <c r="C18" s="14" t="n"/>
      <c r="D18" s="14" t="n"/>
      <c r="E18" s="14" t="n"/>
      <c r="F18" s="14" t="n"/>
    </row>
    <row r="19">
      <c r="A19" s="14" t="n"/>
      <c r="B19" s="14" t="n"/>
      <c r="C19" s="14" t="n"/>
      <c r="D19" s="14" t="n"/>
      <c r="E19" s="14" t="n"/>
      <c r="F19" s="14" t="n"/>
    </row>
    <row r="20">
      <c r="A20" s="14" t="n"/>
      <c r="B20" s="14" t="n"/>
      <c r="C20" s="14" t="n"/>
      <c r="D20" s="14" t="n"/>
      <c r="E20" s="14" t="n"/>
      <c r="F20" s="14" t="n"/>
    </row>
    <row r="21">
      <c r="A21" s="14" t="n"/>
      <c r="B21" s="14" t="n"/>
      <c r="C21" s="14" t="n"/>
      <c r="D21" s="14" t="n"/>
      <c r="E21" s="14" t="n"/>
      <c r="F21" s="14" t="n"/>
    </row>
    <row r="22">
      <c r="A22" s="14" t="n"/>
      <c r="B22" s="14" t="n"/>
      <c r="C22" s="14" t="n"/>
      <c r="D22" s="14" t="n"/>
      <c r="E22" s="14" t="n"/>
      <c r="F22" s="14" t="n"/>
    </row>
    <row r="23">
      <c r="A23" s="14" t="n"/>
      <c r="B23" s="14" t="n"/>
      <c r="C23" s="14" t="n"/>
      <c r="D23" s="14" t="n"/>
      <c r="E23" s="14" t="n"/>
      <c r="F23" s="14" t="n"/>
    </row>
    <row r="24">
      <c r="A24" s="14" t="n"/>
      <c r="B24" s="14" t="n"/>
      <c r="C24" s="14" t="n"/>
      <c r="D24" s="14" t="n"/>
      <c r="E24" s="14" t="n"/>
      <c r="F24" s="14" t="n"/>
    </row>
    <row r="25">
      <c r="A25" s="14" t="n"/>
      <c r="B25" s="14" t="n"/>
      <c r="C25" s="14" t="n"/>
      <c r="D25" s="14" t="n"/>
      <c r="E25" s="14" t="n"/>
      <c r="F25" s="14" t="n"/>
    </row>
    <row r="26">
      <c r="A26" s="14" t="n"/>
      <c r="B26" s="14" t="n"/>
      <c r="C26" s="14" t="n"/>
      <c r="D26" s="14" t="n"/>
      <c r="E26" s="14" t="n"/>
      <c r="F26" s="14" t="n"/>
    </row>
    <row r="27">
      <c r="A27" s="14" t="n"/>
      <c r="B27" s="14" t="n"/>
      <c r="C27" s="14" t="n"/>
      <c r="D27" s="14" t="n"/>
      <c r="E27" s="14" t="n"/>
      <c r="F27" s="14" t="n"/>
    </row>
    <row r="28">
      <c r="A28" s="14" t="n"/>
      <c r="B28" s="14" t="n"/>
      <c r="C28" s="14" t="n"/>
      <c r="D28" s="14" t="n"/>
      <c r="E28" s="14" t="n"/>
      <c r="F28" s="14" t="n"/>
    </row>
    <row r="29">
      <c r="A29" s="14" t="n"/>
      <c r="B29" s="14" t="n"/>
      <c r="C29" s="14" t="n"/>
      <c r="D29" s="14" t="n"/>
      <c r="E29" s="14" t="n"/>
      <c r="F29" s="14" t="n"/>
    </row>
    <row r="30">
      <c r="A30" s="14" t="n"/>
      <c r="B30" s="14" t="n"/>
      <c r="C30" s="14" t="n"/>
      <c r="D30" s="14" t="n"/>
      <c r="E30" s="14" t="n"/>
      <c r="F30" s="14" t="n"/>
    </row>
    <row r="31">
      <c r="A31" s="14" t="n"/>
      <c r="B31" s="14" t="n"/>
      <c r="C31" s="14" t="n"/>
      <c r="D31" s="14" t="n"/>
      <c r="E31" s="14" t="n"/>
      <c r="F31" s="14" t="n"/>
    </row>
    <row r="32">
      <c r="A32" s="14" t="n"/>
      <c r="B32" s="14" t="n"/>
      <c r="C32" s="14" t="n"/>
      <c r="D32" s="14" t="n"/>
      <c r="E32" s="14" t="n"/>
      <c r="F32" s="14" t="n"/>
    </row>
    <row r="33">
      <c r="A33" s="14" t="n"/>
      <c r="B33" s="14" t="n"/>
      <c r="C33" s="14" t="n"/>
      <c r="D33" s="14" t="n"/>
      <c r="E33" s="14" t="n"/>
      <c r="F33" s="14" t="n"/>
    </row>
    <row r="34">
      <c r="A34" s="14" t="n"/>
      <c r="B34" s="14" t="n"/>
      <c r="C34" s="14" t="n"/>
      <c r="D34" s="14" t="n"/>
      <c r="E34" s="14" t="n"/>
      <c r="F34" s="14" t="n"/>
    </row>
    <row r="35">
      <c r="A35" s="14" t="n"/>
      <c r="B35" s="14" t="n"/>
      <c r="C35" s="14" t="n"/>
      <c r="D35" s="14" t="n"/>
      <c r="E35" s="14" t="n"/>
      <c r="F35" s="14" t="n"/>
    </row>
    <row r="36">
      <c r="A36" s="14" t="n"/>
      <c r="B36" s="14" t="n"/>
      <c r="C36" s="14" t="n"/>
      <c r="D36" s="14" t="n"/>
      <c r="E36" s="14" t="n"/>
      <c r="F36" s="14" t="n"/>
    </row>
    <row r="37">
      <c r="A37" s="14" t="n"/>
      <c r="B37" s="14" t="n"/>
      <c r="C37" s="14" t="n"/>
      <c r="D37" s="14" t="n"/>
      <c r="E37" s="14" t="n"/>
      <c r="F37" s="14" t="n"/>
    </row>
    <row r="38">
      <c r="A38" s="14" t="n"/>
      <c r="B38" s="14" t="n"/>
      <c r="C38" s="14" t="n"/>
      <c r="D38" s="14" t="n"/>
      <c r="E38" s="14" t="n"/>
      <c r="F38" s="14" t="n"/>
    </row>
    <row r="39">
      <c r="A39" s="14" t="n"/>
      <c r="B39" s="14" t="n"/>
      <c r="C39" s="14" t="n"/>
      <c r="D39" s="14" t="n"/>
      <c r="E39" s="14" t="n"/>
      <c r="F39" s="14" t="n"/>
    </row>
    <row r="40">
      <c r="A40" s="14" t="n"/>
      <c r="B40" s="14" t="n"/>
      <c r="C40" s="14" t="n"/>
      <c r="D40" s="14" t="n"/>
      <c r="E40" s="14" t="n"/>
      <c r="F40" s="14" t="n"/>
    </row>
    <row r="41">
      <c r="A41" s="14" t="n"/>
      <c r="B41" s="14" t="n"/>
      <c r="C41" s="14" t="n"/>
      <c r="D41" s="14" t="n"/>
      <c r="E41" s="14" t="n"/>
      <c r="F41" s="14" t="n"/>
    </row>
    <row r="42">
      <c r="A42" s="14" t="n"/>
      <c r="B42" s="14" t="n"/>
      <c r="C42" s="14" t="n"/>
      <c r="D42" s="14" t="n"/>
      <c r="E42" s="14" t="n"/>
      <c r="F42" s="14" t="n"/>
    </row>
    <row r="43">
      <c r="A43" s="14" t="n"/>
      <c r="B43" s="14" t="n"/>
      <c r="C43" s="14" t="n"/>
      <c r="D43" s="14" t="n"/>
      <c r="E43" s="14" t="n"/>
      <c r="F43" s="14" t="n"/>
    </row>
    <row r="44">
      <c r="A44" s="14" t="n"/>
      <c r="B44" s="14" t="n"/>
      <c r="C44" s="14" t="n"/>
      <c r="D44" s="14" t="n"/>
      <c r="E44" s="14" t="n"/>
      <c r="F44" s="14" t="n"/>
    </row>
    <row r="45">
      <c r="A45" s="14" t="n"/>
      <c r="B45" s="14" t="n"/>
      <c r="C45" s="14" t="n"/>
      <c r="D45" s="14" t="n"/>
      <c r="E45" s="14" t="n"/>
      <c r="F45" s="14" t="n"/>
    </row>
    <row r="46">
      <c r="A46" s="14" t="n"/>
      <c r="B46" s="14" t="n"/>
      <c r="C46" s="14" t="n"/>
      <c r="D46" s="14" t="n"/>
      <c r="E46" s="14" t="n"/>
      <c r="F46" s="14" t="n"/>
    </row>
    <row r="47">
      <c r="A47" s="14" t="n"/>
      <c r="B47" s="14" t="n"/>
      <c r="C47" s="14" t="n"/>
      <c r="D47" s="14" t="n"/>
      <c r="E47" s="14" t="n"/>
      <c r="F47" s="14" t="n"/>
    </row>
    <row r="48">
      <c r="A48" s="14" t="n"/>
      <c r="B48" s="14" t="n"/>
      <c r="C48" s="14" t="n"/>
      <c r="D48" s="14" t="n"/>
      <c r="E48" s="14" t="n"/>
      <c r="F48" s="14" t="n"/>
    </row>
    <row r="49">
      <c r="A49" s="14" t="n"/>
      <c r="B49" s="14" t="n"/>
      <c r="C49" s="14" t="n"/>
      <c r="D49" s="14" t="n"/>
      <c r="E49" s="14" t="n"/>
      <c r="F49" s="14" t="n"/>
    </row>
    <row r="50">
      <c r="A50" s="14" t="n"/>
      <c r="B50" s="14" t="n"/>
      <c r="C50" s="14" t="n"/>
      <c r="D50" s="14" t="n"/>
      <c r="E50" s="14" t="n"/>
      <c r="F50" s="14" t="n"/>
    </row>
    <row r="51">
      <c r="A51" s="14" t="n"/>
      <c r="B51" s="14" t="n"/>
      <c r="C51" s="14" t="n"/>
      <c r="D51" s="14" t="n"/>
      <c r="E51" s="14" t="n"/>
      <c r="F51" s="14" t="n"/>
    </row>
    <row r="52">
      <c r="A52" s="14" t="n"/>
      <c r="B52" s="14" t="n"/>
      <c r="C52" s="14" t="n"/>
      <c r="D52" s="14" t="n"/>
      <c r="E52" s="14" t="n"/>
      <c r="F52" s="14" t="n"/>
    </row>
    <row r="53">
      <c r="A53" s="14" t="n"/>
      <c r="B53" s="14" t="n"/>
      <c r="C53" s="14" t="n"/>
      <c r="D53" s="14" t="n"/>
      <c r="E53" s="14" t="n"/>
      <c r="F53" s="14" t="n"/>
    </row>
    <row r="54">
      <c r="A54" s="14" t="n"/>
      <c r="B54" s="14" t="n"/>
      <c r="C54" s="14" t="n"/>
      <c r="D54" s="14" t="n"/>
      <c r="E54" s="14" t="n"/>
      <c r="F54" s="14" t="n"/>
    </row>
    <row r="55">
      <c r="A55" s="14" t="n"/>
      <c r="B55" s="14" t="n"/>
      <c r="C55" s="14" t="n"/>
      <c r="D55" s="14" t="n"/>
      <c r="E55" s="14" t="n"/>
      <c r="F55" s="14" t="n"/>
    </row>
    <row r="56">
      <c r="A56" s="14" t="n"/>
      <c r="B56" s="14" t="n"/>
      <c r="C56" s="14" t="n"/>
      <c r="D56" s="14" t="n"/>
      <c r="E56" s="14" t="n"/>
      <c r="F56" s="14" t="n"/>
    </row>
    <row r="57">
      <c r="A57" s="14" t="n"/>
      <c r="B57" s="14" t="n"/>
      <c r="C57" s="14" t="n"/>
      <c r="D57" s="14" t="n"/>
      <c r="E57" s="14" t="n"/>
      <c r="F57" s="14" t="n"/>
    </row>
    <row r="58">
      <c r="A58" s="14" t="n"/>
      <c r="B58" s="14" t="n"/>
      <c r="C58" s="14" t="n"/>
      <c r="D58" s="14" t="n"/>
      <c r="E58" s="14" t="n"/>
      <c r="F58" s="14" t="n"/>
    </row>
    <row r="59">
      <c r="A59" s="14" t="n"/>
      <c r="B59" s="14" t="n"/>
      <c r="C59" s="14" t="n"/>
      <c r="D59" s="14" t="n"/>
      <c r="E59" s="14" t="n"/>
      <c r="F59" s="14" t="n"/>
    </row>
    <row r="60">
      <c r="A60" s="14" t="n"/>
      <c r="B60" s="14" t="n"/>
      <c r="C60" s="14" t="n"/>
      <c r="D60" s="14" t="n"/>
      <c r="E60" s="14" t="n"/>
      <c r="F60" s="14" t="n"/>
    </row>
    <row r="61">
      <c r="A61" s="14" t="n"/>
      <c r="B61" s="14" t="n"/>
      <c r="C61" s="14" t="n"/>
      <c r="D61" s="14" t="n"/>
      <c r="E61" s="14" t="n"/>
      <c r="F61" s="14" t="n"/>
    </row>
    <row r="62">
      <c r="A62" s="14" t="n"/>
      <c r="B62" s="14" t="n"/>
      <c r="C62" s="14" t="n"/>
      <c r="D62" s="14" t="n"/>
      <c r="E62" s="14" t="n"/>
      <c r="F62" s="14" t="n"/>
    </row>
    <row r="63">
      <c r="A63" s="14" t="n"/>
      <c r="B63" s="14" t="n"/>
      <c r="C63" s="14" t="n"/>
      <c r="D63" s="14" t="n"/>
      <c r="E63" s="14" t="n"/>
      <c r="F63" s="14" t="n"/>
    </row>
    <row r="64">
      <c r="A64" s="14" t="n"/>
      <c r="B64" s="14" t="n"/>
      <c r="C64" s="14" t="n"/>
      <c r="D64" s="14" t="n"/>
      <c r="E64" s="14" t="n"/>
      <c r="F64" s="14" t="n"/>
    </row>
    <row r="65">
      <c r="A65" s="14" t="n"/>
      <c r="B65" s="14" t="n"/>
      <c r="C65" s="14" t="n"/>
      <c r="D65" s="14" t="n"/>
      <c r="E65" s="14" t="n"/>
      <c r="F65" s="14" t="n"/>
    </row>
    <row r="66">
      <c r="A66" s="14" t="n"/>
      <c r="B66" s="14" t="n"/>
      <c r="C66" s="14" t="n"/>
      <c r="D66" s="14" t="n"/>
      <c r="E66" s="14" t="n"/>
      <c r="F66" s="14" t="n"/>
    </row>
    <row r="67">
      <c r="A67" s="14" t="n"/>
      <c r="B67" s="14" t="n"/>
      <c r="C67" s="14" t="n"/>
      <c r="D67" s="14" t="n"/>
      <c r="E67" s="14" t="n"/>
      <c r="F67" s="14" t="n"/>
    </row>
    <row r="68">
      <c r="A68" s="14" t="n"/>
      <c r="B68" s="14" t="n"/>
      <c r="C68" s="14" t="n"/>
      <c r="D68" s="14" t="n"/>
      <c r="E68" s="14" t="n"/>
      <c r="F68" s="14" t="n"/>
    </row>
    <row r="69">
      <c r="A69" s="14" t="n"/>
      <c r="B69" s="14" t="n"/>
      <c r="C69" s="14" t="n"/>
      <c r="D69" s="14" t="n"/>
      <c r="E69" s="14" t="n"/>
      <c r="F69" s="14" t="n"/>
    </row>
    <row r="70">
      <c r="A70" s="14" t="n"/>
      <c r="B70" s="14" t="n"/>
      <c r="C70" s="14" t="n"/>
      <c r="D70" s="14" t="n"/>
      <c r="E70" s="14" t="n"/>
      <c r="F70" s="14" t="n"/>
    </row>
    <row r="71">
      <c r="A71" s="14" t="n"/>
      <c r="B71" s="14" t="n"/>
      <c r="C71" s="14" t="n"/>
      <c r="D71" s="14" t="n"/>
      <c r="E71" s="14" t="n"/>
      <c r="F71" s="14" t="n"/>
    </row>
    <row r="72">
      <c r="A72" s="14" t="n"/>
      <c r="B72" s="14" t="n"/>
      <c r="C72" s="14" t="n"/>
      <c r="D72" s="14" t="n"/>
      <c r="E72" s="14" t="n"/>
      <c r="F72" s="14" t="n"/>
    </row>
    <row r="73">
      <c r="A73" s="14" t="n"/>
      <c r="B73" s="14" t="n"/>
      <c r="C73" s="14" t="n"/>
      <c r="D73" s="14" t="n"/>
      <c r="E73" s="14" t="n"/>
      <c r="F73" s="14" t="n"/>
    </row>
    <row r="74">
      <c r="A74" s="14" t="n"/>
      <c r="B74" s="14" t="n"/>
      <c r="C74" s="14" t="n"/>
      <c r="D74" s="14" t="n"/>
      <c r="E74" s="14" t="n"/>
      <c r="F74" s="14" t="n"/>
    </row>
    <row r="75">
      <c r="A75" s="14" t="n"/>
      <c r="B75" s="14" t="n"/>
      <c r="C75" s="14" t="n"/>
      <c r="D75" s="14" t="n"/>
      <c r="E75" s="14" t="n"/>
      <c r="F75" s="14" t="n"/>
    </row>
    <row r="76">
      <c r="A76" s="14" t="n"/>
      <c r="B76" s="14" t="n"/>
      <c r="C76" s="14" t="n"/>
      <c r="D76" s="14" t="n"/>
      <c r="E76" s="14" t="n"/>
      <c r="F76" s="14" t="n"/>
    </row>
    <row r="77">
      <c r="A77" s="14" t="n"/>
      <c r="B77" s="14" t="n"/>
      <c r="C77" s="14" t="n"/>
      <c r="D77" s="14" t="n"/>
      <c r="E77" s="14" t="n"/>
      <c r="F77" s="14" t="n"/>
    </row>
    <row r="78">
      <c r="A78" s="14" t="n"/>
      <c r="B78" s="14" t="n"/>
      <c r="C78" s="14" t="n"/>
      <c r="D78" s="14" t="n"/>
      <c r="E78" s="14" t="n"/>
      <c r="F78" s="14" t="n"/>
    </row>
    <row r="79">
      <c r="A79" s="14" t="n"/>
      <c r="B79" s="14" t="n"/>
      <c r="C79" s="14" t="n"/>
      <c r="D79" s="14" t="n"/>
      <c r="E79" s="14" t="n"/>
      <c r="F79" s="14" t="n"/>
    </row>
    <row r="80">
      <c r="A80" s="14" t="n"/>
      <c r="B80" s="14" t="n"/>
      <c r="C80" s="14" t="n"/>
      <c r="D80" s="14" t="n"/>
      <c r="E80" s="14" t="n"/>
      <c r="F80" s="14" t="n"/>
    </row>
    <row r="81">
      <c r="A81" s="14" t="n"/>
      <c r="B81" s="14" t="n"/>
      <c r="C81" s="14" t="n"/>
      <c r="D81" s="14" t="n"/>
      <c r="E81" s="14" t="n"/>
      <c r="F81" s="14" t="n"/>
    </row>
    <row r="82">
      <c r="A82" s="14" t="n"/>
      <c r="B82" s="14" t="n"/>
      <c r="C82" s="14" t="n"/>
      <c r="D82" s="14" t="n"/>
      <c r="E82" s="14" t="n"/>
      <c r="F82" s="14" t="n"/>
    </row>
    <row r="83">
      <c r="A83" s="14" t="n"/>
      <c r="B83" s="14" t="n"/>
      <c r="C83" s="14" t="n"/>
      <c r="D83" s="14" t="n"/>
      <c r="E83" s="14" t="n"/>
      <c r="F83" s="14" t="n"/>
    </row>
    <row r="84">
      <c r="A84" s="14" t="n"/>
      <c r="B84" s="14" t="n"/>
      <c r="C84" s="14" t="n"/>
      <c r="D84" s="14" t="n"/>
      <c r="E84" s="14" t="n"/>
      <c r="F84" s="14" t="n"/>
    </row>
    <row r="85">
      <c r="A85" s="14" t="n"/>
      <c r="B85" s="14" t="n"/>
      <c r="C85" s="14" t="n"/>
      <c r="D85" s="14" t="n"/>
      <c r="E85" s="14" t="n"/>
      <c r="F85" s="14" t="n"/>
    </row>
    <row r="86">
      <c r="A86" s="14" t="n"/>
      <c r="B86" s="14" t="n"/>
      <c r="C86" s="14" t="n"/>
      <c r="D86" s="14" t="n"/>
      <c r="E86" s="14" t="n"/>
      <c r="F86" s="14" t="n"/>
    </row>
    <row r="87">
      <c r="A87" s="14" t="n"/>
      <c r="B87" s="14" t="n"/>
      <c r="C87" s="14" t="n"/>
      <c r="D87" s="14" t="n"/>
      <c r="E87" s="14" t="n"/>
      <c r="F87" s="14" t="n"/>
    </row>
    <row r="88">
      <c r="A88" s="14" t="n"/>
      <c r="B88" s="14" t="n"/>
      <c r="C88" s="14" t="n"/>
      <c r="D88" s="14" t="n"/>
      <c r="E88" s="14" t="n"/>
      <c r="F88" s="14" t="n"/>
    </row>
    <row r="89">
      <c r="A89" s="14" t="n"/>
      <c r="B89" s="14" t="n"/>
      <c r="C89" s="14" t="n"/>
      <c r="D89" s="14" t="n"/>
      <c r="E89" s="14" t="n"/>
      <c r="F89" s="14" t="n"/>
    </row>
    <row r="90">
      <c r="A90" s="14" t="n"/>
      <c r="B90" s="14" t="n"/>
      <c r="C90" s="14" t="n"/>
      <c r="D90" s="14" t="n"/>
      <c r="E90" s="14" t="n"/>
      <c r="F90" s="14" t="n"/>
    </row>
    <row r="91">
      <c r="A91" s="14" t="n"/>
      <c r="B91" s="14" t="n"/>
      <c r="C91" s="14" t="n"/>
      <c r="D91" s="14" t="n"/>
      <c r="E91" s="14" t="n"/>
      <c r="F91" s="14" t="n"/>
    </row>
    <row r="92">
      <c r="A92" s="14" t="n"/>
      <c r="B92" s="14" t="n"/>
      <c r="C92" s="14" t="n"/>
      <c r="D92" s="14" t="n"/>
      <c r="E92" s="14" t="n"/>
      <c r="F92" s="14" t="n"/>
    </row>
    <row r="93">
      <c r="A93" s="14" t="n"/>
      <c r="B93" s="14" t="n"/>
      <c r="C93" s="14" t="n"/>
      <c r="D93" s="14" t="n"/>
      <c r="E93" s="14" t="n"/>
      <c r="F93" s="14" t="n"/>
    </row>
    <row r="94">
      <c r="A94" s="14" t="n"/>
      <c r="B94" s="14" t="n"/>
      <c r="C94" s="14" t="n"/>
      <c r="D94" s="14" t="n"/>
      <c r="E94" s="14" t="n"/>
      <c r="F94" s="14" t="n"/>
    </row>
    <row r="95">
      <c r="A95" s="14" t="n"/>
      <c r="B95" s="14" t="n"/>
      <c r="C95" s="14" t="n"/>
      <c r="D95" s="14" t="n"/>
      <c r="E95" s="14" t="n"/>
      <c r="F95" s="14" t="n"/>
    </row>
    <row r="96">
      <c r="A96" s="14" t="n"/>
      <c r="B96" s="14" t="n"/>
      <c r="C96" s="14" t="n"/>
      <c r="D96" s="14" t="n"/>
      <c r="E96" s="14" t="n"/>
      <c r="F96" s="14" t="n"/>
    </row>
    <row r="97">
      <c r="A97" s="14" t="n"/>
      <c r="B97" s="14" t="n"/>
      <c r="C97" s="14" t="n"/>
      <c r="D97" s="14" t="n"/>
      <c r="E97" s="14" t="n"/>
      <c r="F97" s="14" t="n"/>
    </row>
    <row r="98">
      <c r="A98" s="14" t="n"/>
      <c r="B98" s="14" t="n"/>
      <c r="C98" s="14" t="n"/>
      <c r="D98" s="14" t="n"/>
      <c r="E98" s="14" t="n"/>
      <c r="F98" s="14" t="n"/>
    </row>
    <row r="99">
      <c r="A99" s="14" t="n"/>
      <c r="B99" s="14" t="n"/>
      <c r="C99" s="14" t="n"/>
      <c r="D99" s="14" t="n"/>
      <c r="E99" s="14" t="n"/>
      <c r="F99" s="14" t="n"/>
    </row>
    <row r="100">
      <c r="A100" s="14" t="n"/>
      <c r="B100" s="14" t="n"/>
      <c r="C100" s="14" t="n"/>
      <c r="D100" s="14" t="n"/>
      <c r="E100" s="14" t="n"/>
      <c r="F100" s="14" t="n"/>
    </row>
    <row r="101">
      <c r="A101" s="14" t="n"/>
      <c r="B101" s="14" t="n"/>
      <c r="C101" s="14" t="n"/>
      <c r="D101" s="14" t="n"/>
      <c r="E101" s="14" t="n"/>
      <c r="F101" s="14" t="n"/>
    </row>
    <row r="102">
      <c r="A102" s="14" t="n"/>
      <c r="B102" s="14" t="n"/>
      <c r="C102" s="14" t="n"/>
      <c r="D102" s="14" t="n"/>
      <c r="E102" s="14" t="n"/>
      <c r="F102" s="14" t="n"/>
    </row>
    <row r="103">
      <c r="A103" s="14" t="n"/>
      <c r="B103" s="14" t="n"/>
      <c r="C103" s="14" t="n"/>
      <c r="D103" s="14" t="n"/>
      <c r="E103" s="14" t="n"/>
      <c r="F103" s="14" t="n"/>
    </row>
    <row r="104">
      <c r="A104" s="14" t="n"/>
      <c r="B104" s="14" t="n"/>
      <c r="C104" s="14" t="n"/>
      <c r="D104" s="14" t="n"/>
      <c r="E104" s="14" t="n"/>
      <c r="F104" s="14" t="n"/>
    </row>
    <row r="105">
      <c r="A105" s="14" t="n"/>
      <c r="B105" s="14" t="n"/>
      <c r="C105" s="14" t="n"/>
      <c r="D105" s="14" t="n"/>
      <c r="E105" s="14" t="n"/>
      <c r="F105" s="14" t="n"/>
    </row>
    <row r="106">
      <c r="A106" s="14" t="n"/>
      <c r="B106" s="14" t="n"/>
      <c r="C106" s="14" t="n"/>
      <c r="D106" s="14" t="n"/>
      <c r="E106" s="14" t="n"/>
      <c r="F106" s="14" t="n"/>
    </row>
    <row r="107">
      <c r="A107" s="14" t="n"/>
      <c r="B107" s="14" t="n"/>
      <c r="C107" s="14" t="n"/>
      <c r="D107" s="14" t="n"/>
      <c r="E107" s="14" t="n"/>
      <c r="F107" s="14" t="n"/>
    </row>
    <row r="108">
      <c r="A108" s="14" t="n"/>
      <c r="B108" s="14" t="n"/>
      <c r="C108" s="14" t="n"/>
      <c r="D108" s="14" t="n"/>
      <c r="E108" s="14" t="n"/>
      <c r="F108" s="14" t="n"/>
    </row>
    <row r="109">
      <c r="A109" s="14" t="n"/>
      <c r="B109" s="14" t="n"/>
      <c r="C109" s="14" t="n"/>
      <c r="D109" s="14" t="n"/>
      <c r="E109" s="14" t="n"/>
      <c r="F109" s="14" t="n"/>
    </row>
    <row r="110">
      <c r="A110" s="14" t="n"/>
      <c r="B110" s="14" t="n"/>
      <c r="C110" s="14" t="n"/>
      <c r="D110" s="14" t="n"/>
      <c r="E110" s="14" t="n"/>
      <c r="F110" s="14" t="n"/>
    </row>
    <row r="111">
      <c r="A111" s="14" t="n"/>
      <c r="B111" s="14" t="n"/>
      <c r="C111" s="14" t="n"/>
      <c r="D111" s="14" t="n"/>
      <c r="E111" s="14" t="n"/>
      <c r="F111" s="14" t="n"/>
    </row>
    <row r="112">
      <c r="A112" s="14" t="n"/>
      <c r="B112" s="14" t="n"/>
      <c r="C112" s="14" t="n"/>
      <c r="D112" s="14" t="n"/>
      <c r="E112" s="14" t="n"/>
      <c r="F112" s="14" t="n"/>
    </row>
    <row r="113">
      <c r="A113" s="14" t="n"/>
      <c r="B113" s="14" t="n"/>
      <c r="C113" s="14" t="n"/>
      <c r="D113" s="14" t="n"/>
      <c r="E113" s="14" t="n"/>
      <c r="F113" s="14" t="n"/>
    </row>
    <row r="114">
      <c r="A114" s="14" t="n"/>
      <c r="B114" s="14" t="n"/>
      <c r="C114" s="14" t="n"/>
      <c r="D114" s="14" t="n"/>
      <c r="E114" s="14" t="n"/>
      <c r="F114" s="14" t="n"/>
    </row>
    <row r="115">
      <c r="A115" s="14" t="n"/>
      <c r="B115" s="14" t="n"/>
      <c r="C115" s="14" t="n"/>
      <c r="D115" s="14" t="n"/>
      <c r="E115" s="14" t="n"/>
      <c r="F115" s="14" t="n"/>
    </row>
    <row r="116">
      <c r="A116" s="14" t="n"/>
      <c r="B116" s="14" t="n"/>
      <c r="C116" s="14" t="n"/>
      <c r="D116" s="14" t="n"/>
      <c r="E116" s="14" t="n"/>
      <c r="F116" s="14" t="n"/>
    </row>
    <row r="117">
      <c r="A117" s="14" t="n"/>
      <c r="B117" s="14" t="n"/>
      <c r="C117" s="14" t="n"/>
      <c r="D117" s="14" t="n"/>
      <c r="E117" s="14" t="n"/>
      <c r="F117" s="14" t="n"/>
    </row>
    <row r="118">
      <c r="A118" s="14" t="n"/>
      <c r="B118" s="14" t="n"/>
      <c r="C118" s="14" t="n"/>
      <c r="D118" s="14" t="n"/>
      <c r="E118" s="14" t="n"/>
      <c r="F118" s="14" t="n"/>
    </row>
    <row r="119">
      <c r="A119" s="14" t="n"/>
      <c r="B119" s="14" t="n"/>
      <c r="C119" s="14" t="n"/>
      <c r="D119" s="14" t="n"/>
      <c r="E119" s="14" t="n"/>
      <c r="F119" s="14" t="n"/>
    </row>
    <row r="120">
      <c r="A120" s="14" t="n"/>
      <c r="B120" s="14" t="n"/>
      <c r="C120" s="14" t="n"/>
      <c r="D120" s="14" t="n"/>
      <c r="E120" s="14" t="n"/>
      <c r="F120" s="14" t="n"/>
    </row>
    <row r="121">
      <c r="A121" s="14" t="n"/>
      <c r="B121" s="14" t="n"/>
      <c r="C121" s="14" t="n"/>
      <c r="D121" s="14" t="n"/>
      <c r="E121" s="14" t="n"/>
      <c r="F121" s="14" t="n"/>
    </row>
    <row r="122">
      <c r="A122" s="14" t="n"/>
      <c r="B122" s="14" t="n"/>
      <c r="C122" s="14" t="n"/>
      <c r="D122" s="14" t="n"/>
      <c r="E122" s="14" t="n"/>
      <c r="F122" s="14" t="n"/>
    </row>
    <row r="123">
      <c r="A123" s="14" t="n"/>
      <c r="B123" s="14" t="n"/>
      <c r="C123" s="14" t="n"/>
      <c r="D123" s="14" t="n"/>
      <c r="E123" s="14" t="n"/>
      <c r="F123" s="14" t="n"/>
    </row>
    <row r="124">
      <c r="A124" s="14" t="n"/>
      <c r="B124" s="14" t="n"/>
      <c r="C124" s="14" t="n"/>
      <c r="D124" s="14" t="n"/>
      <c r="E124" s="14" t="n"/>
      <c r="F124" s="14" t="n"/>
    </row>
    <row r="125">
      <c r="A125" s="14" t="n"/>
      <c r="B125" s="14" t="n"/>
      <c r="C125" s="14" t="n"/>
      <c r="D125" s="14" t="n"/>
      <c r="E125" s="14" t="n"/>
      <c r="F125" s="14" t="n"/>
    </row>
    <row r="126">
      <c r="A126" s="14" t="n"/>
      <c r="B126" s="14" t="n"/>
      <c r="C126" s="14" t="n"/>
      <c r="D126" s="14" t="n"/>
      <c r="E126" s="14" t="n"/>
      <c r="F126" s="14" t="n"/>
    </row>
    <row r="127">
      <c r="A127" s="14" t="n"/>
      <c r="B127" s="14" t="n"/>
      <c r="C127" s="14" t="n"/>
      <c r="D127" s="14" t="n"/>
      <c r="E127" s="14" t="n"/>
      <c r="F127" s="14" t="n"/>
    </row>
    <row r="128">
      <c r="A128" s="14" t="n"/>
      <c r="B128" s="14" t="n"/>
      <c r="C128" s="14" t="n"/>
      <c r="D128" s="14" t="n"/>
      <c r="E128" s="14" t="n"/>
      <c r="F128" s="14" t="n"/>
    </row>
    <row r="129">
      <c r="A129" s="14" t="n"/>
      <c r="B129" s="14" t="n"/>
      <c r="C129" s="14" t="n"/>
      <c r="D129" s="14" t="n"/>
      <c r="E129" s="14" t="n"/>
      <c r="F129" s="14" t="n"/>
    </row>
    <row r="130">
      <c r="A130" s="14" t="n"/>
      <c r="B130" s="14" t="n"/>
      <c r="C130" s="14" t="n"/>
      <c r="D130" s="14" t="n"/>
      <c r="E130" s="14" t="n"/>
      <c r="F130" s="14" t="n"/>
    </row>
    <row r="131">
      <c r="A131" s="14" t="n"/>
      <c r="B131" s="14" t="n"/>
      <c r="C131" s="14" t="n"/>
      <c r="D131" s="14" t="n"/>
      <c r="E131" s="14" t="n"/>
      <c r="F131" s="14" t="n"/>
    </row>
    <row r="132">
      <c r="A132" s="14" t="n"/>
      <c r="B132" s="14" t="n"/>
      <c r="C132" s="14" t="n"/>
      <c r="D132" s="14" t="n"/>
      <c r="E132" s="14" t="n"/>
      <c r="F132" s="14" t="n"/>
    </row>
    <row r="133">
      <c r="A133" s="14" t="n"/>
      <c r="B133" s="14" t="n"/>
      <c r="C133" s="14" t="n"/>
      <c r="D133" s="14" t="n"/>
      <c r="E133" s="14" t="n"/>
      <c r="F133" s="14" t="n"/>
    </row>
    <row r="134">
      <c r="A134" s="14" t="n"/>
      <c r="B134" s="14" t="n"/>
      <c r="C134" s="14" t="n"/>
      <c r="D134" s="14" t="n"/>
      <c r="E134" s="14" t="n"/>
      <c r="F134" s="14" t="n"/>
    </row>
    <row r="135">
      <c r="A135" s="14" t="n"/>
      <c r="B135" s="14" t="n"/>
      <c r="C135" s="14" t="n"/>
      <c r="D135" s="14" t="n"/>
      <c r="E135" s="14" t="n"/>
      <c r="F135" s="14" t="n"/>
    </row>
    <row r="136">
      <c r="A136" s="14" t="n"/>
      <c r="B136" s="14" t="n"/>
      <c r="C136" s="14" t="n"/>
      <c r="D136" s="14" t="n"/>
      <c r="E136" s="14" t="n"/>
      <c r="F136" s="14" t="n"/>
    </row>
    <row r="137">
      <c r="A137" s="14" t="n"/>
      <c r="B137" s="14" t="n"/>
      <c r="C137" s="14" t="n"/>
      <c r="D137" s="14" t="n"/>
      <c r="E137" s="14" t="n"/>
      <c r="F137" s="14" t="n"/>
    </row>
    <row r="138">
      <c r="A138" s="14" t="n"/>
      <c r="B138" s="14" t="n"/>
      <c r="C138" s="14" t="n"/>
      <c r="D138" s="14" t="n"/>
      <c r="E138" s="14" t="n"/>
      <c r="F138" s="14" t="n"/>
    </row>
    <row r="139">
      <c r="A139" s="14" t="n"/>
      <c r="B139" s="14" t="n"/>
      <c r="C139" s="14" t="n"/>
      <c r="D139" s="14" t="n"/>
      <c r="E139" s="14" t="n"/>
      <c r="F139" s="14" t="n"/>
    </row>
    <row r="140">
      <c r="A140" s="14" t="n"/>
      <c r="B140" s="14" t="n"/>
      <c r="C140" s="14" t="n"/>
      <c r="D140" s="14" t="n"/>
      <c r="E140" s="14" t="n"/>
      <c r="F140" s="14" t="n"/>
    </row>
    <row r="141">
      <c r="A141" s="14" t="n"/>
      <c r="B141" s="14" t="n"/>
      <c r="C141" s="14" t="n"/>
      <c r="D141" s="14" t="n"/>
      <c r="E141" s="14" t="n"/>
      <c r="F141" s="14" t="n"/>
    </row>
    <row r="142">
      <c r="A142" s="14" t="n"/>
      <c r="B142" s="14" t="n"/>
      <c r="C142" s="14" t="n"/>
      <c r="D142" s="14" t="n"/>
      <c r="E142" s="14" t="n"/>
      <c r="F142" s="14" t="n"/>
    </row>
    <row r="143">
      <c r="A143" s="14" t="n"/>
      <c r="B143" s="14" t="n"/>
      <c r="C143" s="14" t="n"/>
      <c r="D143" s="14" t="n"/>
      <c r="E143" s="14" t="n"/>
      <c r="F143" s="14" t="n"/>
    </row>
    <row r="144">
      <c r="A144" s="14" t="n"/>
      <c r="B144" s="14" t="n"/>
      <c r="C144" s="14" t="n"/>
      <c r="D144" s="14" t="n"/>
      <c r="E144" s="14" t="n"/>
      <c r="F144" s="14" t="n"/>
    </row>
    <row r="145">
      <c r="A145" s="14" t="n"/>
      <c r="B145" s="14" t="n"/>
      <c r="C145" s="14" t="n"/>
      <c r="D145" s="14" t="n"/>
      <c r="E145" s="14" t="n"/>
      <c r="F145" s="14" t="n"/>
    </row>
    <row r="146">
      <c r="A146" s="14" t="n"/>
      <c r="B146" s="14" t="n"/>
      <c r="C146" s="14" t="n"/>
      <c r="D146" s="14" t="n"/>
      <c r="E146" s="14" t="n"/>
      <c r="F146" s="14" t="n"/>
    </row>
    <row r="147">
      <c r="A147" s="14" t="n"/>
      <c r="B147" s="14" t="n"/>
      <c r="C147" s="14" t="n"/>
      <c r="D147" s="14" t="n"/>
      <c r="E147" s="14" t="n"/>
      <c r="F147" s="14" t="n"/>
    </row>
    <row r="148">
      <c r="A148" s="14" t="n"/>
      <c r="B148" s="14" t="n"/>
      <c r="C148" s="14" t="n"/>
      <c r="D148" s="14" t="n"/>
      <c r="E148" s="14" t="n"/>
      <c r="F148" s="14" t="n"/>
    </row>
    <row r="149">
      <c r="A149" s="14" t="n"/>
      <c r="B149" s="14" t="n"/>
      <c r="C149" s="14" t="n"/>
      <c r="D149" s="14" t="n"/>
      <c r="E149" s="14" t="n"/>
      <c r="F149" s="14" t="n"/>
    </row>
    <row r="150">
      <c r="A150" s="14" t="n"/>
      <c r="B150" s="14" t="n"/>
      <c r="C150" s="14" t="n"/>
      <c r="D150" s="14" t="n"/>
      <c r="E150" s="14" t="n"/>
      <c r="F150" s="14" t="n"/>
    </row>
    <row r="151">
      <c r="A151" s="14" t="n"/>
      <c r="B151" s="14" t="n"/>
      <c r="C151" s="14" t="n"/>
      <c r="D151" s="14" t="n"/>
      <c r="E151" s="14" t="n"/>
      <c r="F151" s="14" t="n"/>
    </row>
    <row r="152">
      <c r="A152" s="14" t="n"/>
      <c r="B152" s="14" t="n"/>
      <c r="C152" s="14" t="n"/>
      <c r="D152" s="14" t="n"/>
      <c r="E152" s="14" t="n"/>
      <c r="F152" s="14" t="n"/>
    </row>
    <row r="153">
      <c r="A153" s="14" t="n"/>
      <c r="B153" s="14" t="n"/>
      <c r="C153" s="14" t="n"/>
      <c r="D153" s="14" t="n"/>
      <c r="E153" s="14" t="n"/>
      <c r="F153" s="14" t="n"/>
    </row>
    <row r="154">
      <c r="A154" s="14" t="n"/>
      <c r="B154" s="14" t="n"/>
      <c r="C154" s="14" t="n"/>
      <c r="D154" s="14" t="n"/>
      <c r="E154" s="14" t="n"/>
      <c r="F154" s="14" t="n"/>
    </row>
    <row r="155">
      <c r="A155" s="14" t="n"/>
      <c r="B155" s="14" t="n"/>
      <c r="C155" s="14" t="n"/>
      <c r="D155" s="14" t="n"/>
      <c r="E155" s="14" t="n"/>
      <c r="F155" s="14" t="n"/>
    </row>
    <row r="156">
      <c r="A156" s="14" t="n"/>
      <c r="B156" s="14" t="n"/>
      <c r="C156" s="14" t="n"/>
      <c r="D156" s="14" t="n"/>
      <c r="E156" s="14" t="n"/>
      <c r="F156" s="14" t="n"/>
    </row>
    <row r="157">
      <c r="A157" s="14" t="n"/>
      <c r="B157" s="14" t="n"/>
      <c r="C157" s="14" t="n"/>
      <c r="D157" s="14" t="n"/>
      <c r="E157" s="14" t="n"/>
      <c r="F157" s="14" t="n"/>
    </row>
    <row r="158">
      <c r="A158" s="14" t="n"/>
      <c r="B158" s="14" t="n"/>
      <c r="C158" s="14" t="n"/>
      <c r="D158" s="14" t="n"/>
      <c r="E158" s="14" t="n"/>
      <c r="F158" s="14" t="n"/>
    </row>
    <row r="159">
      <c r="A159" s="14" t="n"/>
      <c r="B159" s="14" t="n"/>
      <c r="C159" s="14" t="n"/>
      <c r="D159" s="14" t="n"/>
      <c r="E159" s="14" t="n"/>
      <c r="F159" s="14" t="n"/>
    </row>
    <row r="160">
      <c r="A160" s="14" t="n"/>
      <c r="B160" s="14" t="n"/>
      <c r="C160" s="14" t="n"/>
      <c r="D160" s="14" t="n"/>
      <c r="E160" s="14" t="n"/>
      <c r="F160" s="14" t="n"/>
    </row>
    <row r="161">
      <c r="A161" s="14" t="n"/>
      <c r="B161" s="14" t="n"/>
      <c r="C161" s="14" t="n"/>
      <c r="D161" s="14" t="n"/>
      <c r="E161" s="14" t="n"/>
      <c r="F161" s="14" t="n"/>
    </row>
    <row r="162">
      <c r="A162" s="14" t="n"/>
      <c r="B162" s="14" t="n"/>
      <c r="C162" s="14" t="n"/>
      <c r="D162" s="14" t="n"/>
      <c r="E162" s="14" t="n"/>
      <c r="F162" s="14" t="n"/>
    </row>
    <row r="163">
      <c r="A163" s="14" t="n"/>
      <c r="B163" s="14" t="n"/>
      <c r="C163" s="14" t="n"/>
      <c r="D163" s="14" t="n"/>
      <c r="E163" s="14" t="n"/>
      <c r="F163" s="14" t="n"/>
    </row>
    <row r="164">
      <c r="A164" s="14" t="n"/>
      <c r="B164" s="14" t="n"/>
      <c r="C164" s="14" t="n"/>
      <c r="D164" s="14" t="n"/>
      <c r="E164" s="14" t="n"/>
      <c r="F164" s="14" t="n"/>
    </row>
    <row r="165">
      <c r="A165" s="14" t="n"/>
      <c r="B165" s="14" t="n"/>
      <c r="C165" s="14" t="n"/>
      <c r="D165" s="14" t="n"/>
      <c r="E165" s="14" t="n"/>
      <c r="F165" s="14" t="n"/>
    </row>
    <row r="166">
      <c r="A166" s="14" t="n"/>
      <c r="B166" s="14" t="n"/>
      <c r="C166" s="14" t="n"/>
      <c r="D166" s="14" t="n"/>
      <c r="E166" s="14" t="n"/>
      <c r="F166" s="14" t="n"/>
    </row>
    <row r="167">
      <c r="A167" s="14" t="n"/>
      <c r="B167" s="14" t="n"/>
      <c r="C167" s="14" t="n"/>
      <c r="D167" s="14" t="n"/>
      <c r="E167" s="14" t="n"/>
      <c r="F167" s="14" t="n"/>
    </row>
    <row r="168">
      <c r="A168" s="14" t="n"/>
      <c r="B168" s="14" t="n"/>
      <c r="C168" s="14" t="n"/>
      <c r="D168" s="14" t="n"/>
      <c r="E168" s="14" t="n"/>
      <c r="F168" s="14" t="n"/>
    </row>
    <row r="169">
      <c r="A169" s="14" t="n"/>
      <c r="B169" s="14" t="n"/>
      <c r="C169" s="14" t="n"/>
      <c r="D169" s="14" t="n"/>
      <c r="E169" s="14" t="n"/>
      <c r="F169" s="14" t="n"/>
    </row>
    <row r="170">
      <c r="A170" s="14" t="n"/>
      <c r="B170" s="14" t="n"/>
      <c r="C170" s="14" t="n"/>
      <c r="D170" s="14" t="n"/>
      <c r="E170" s="14" t="n"/>
      <c r="F170" s="14" t="n"/>
    </row>
    <row r="171">
      <c r="A171" s="14" t="n"/>
      <c r="B171" s="14" t="n"/>
      <c r="C171" s="14" t="n"/>
      <c r="D171" s="14" t="n"/>
      <c r="E171" s="14" t="n"/>
      <c r="F171" s="14" t="n"/>
    </row>
    <row r="172">
      <c r="A172" s="14" t="n"/>
      <c r="B172" s="14" t="n"/>
      <c r="C172" s="14" t="n"/>
      <c r="D172" s="14" t="n"/>
      <c r="E172" s="14" t="n"/>
      <c r="F172" s="14" t="n"/>
    </row>
    <row r="173">
      <c r="A173" s="14" t="n"/>
      <c r="B173" s="14" t="n"/>
      <c r="C173" s="14" t="n"/>
      <c r="D173" s="14" t="n"/>
      <c r="E173" s="14" t="n"/>
      <c r="F173" s="14" t="n"/>
    </row>
    <row r="174">
      <c r="A174" s="14" t="n"/>
      <c r="B174" s="14" t="n"/>
      <c r="C174" s="14" t="n"/>
      <c r="D174" s="14" t="n"/>
      <c r="E174" s="14" t="n"/>
      <c r="F174" s="14" t="n"/>
    </row>
    <row r="175">
      <c r="A175" s="14" t="n"/>
      <c r="B175" s="14" t="n"/>
      <c r="C175" s="14" t="n"/>
      <c r="D175" s="14" t="n"/>
      <c r="E175" s="14" t="n"/>
      <c r="F175" s="14" t="n"/>
    </row>
    <row r="176">
      <c r="A176" s="14" t="n"/>
      <c r="B176" s="14" t="n"/>
      <c r="C176" s="14" t="n"/>
      <c r="D176" s="14" t="n"/>
      <c r="E176" s="14" t="n"/>
      <c r="F176" s="14" t="n"/>
    </row>
    <row r="177">
      <c r="A177" s="14" t="n"/>
      <c r="B177" s="14" t="n"/>
      <c r="C177" s="14" t="n"/>
      <c r="D177" s="14" t="n"/>
      <c r="E177" s="14" t="n"/>
      <c r="F177" s="14" t="n"/>
    </row>
    <row r="178">
      <c r="A178" s="14" t="n"/>
      <c r="B178" s="14" t="n"/>
      <c r="C178" s="14" t="n"/>
      <c r="D178" s="14" t="n"/>
      <c r="E178" s="14" t="n"/>
      <c r="F178" s="14" t="n"/>
    </row>
    <row r="179">
      <c r="A179" s="14" t="n"/>
      <c r="B179" s="14" t="n"/>
      <c r="C179" s="14" t="n"/>
      <c r="D179" s="14" t="n"/>
      <c r="E179" s="14" t="n"/>
      <c r="F179" s="14" t="n"/>
    </row>
    <row r="180">
      <c r="A180" s="14" t="n"/>
      <c r="B180" s="14" t="n"/>
      <c r="C180" s="14" t="n"/>
      <c r="D180" s="14" t="n"/>
      <c r="E180" s="14" t="n"/>
      <c r="F180" s="14" t="n"/>
    </row>
    <row r="181">
      <c r="A181" s="14" t="n"/>
      <c r="B181" s="14" t="n"/>
      <c r="C181" s="14" t="n"/>
      <c r="D181" s="14" t="n"/>
      <c r="E181" s="14" t="n"/>
      <c r="F181" s="14" t="n"/>
    </row>
    <row r="182">
      <c r="A182" s="14" t="n"/>
      <c r="B182" s="14" t="n"/>
      <c r="C182" s="14" t="n"/>
      <c r="D182" s="14" t="n"/>
      <c r="E182" s="14" t="n"/>
      <c r="F182" s="14" t="n"/>
    </row>
    <row r="183">
      <c r="A183" s="14" t="n"/>
      <c r="B183" s="14" t="n"/>
      <c r="C183" s="14" t="n"/>
      <c r="D183" s="14" t="n"/>
      <c r="E183" s="14" t="n"/>
      <c r="F183" s="14" t="n"/>
    </row>
    <row r="184">
      <c r="A184" s="14" t="n"/>
      <c r="B184" s="14" t="n"/>
      <c r="C184" s="14" t="n"/>
      <c r="D184" s="14" t="n"/>
      <c r="E184" s="14" t="n"/>
      <c r="F184" s="14" t="n"/>
    </row>
    <row r="185">
      <c r="A185" s="14" t="n"/>
      <c r="B185" s="14" t="n"/>
      <c r="C185" s="14" t="n"/>
      <c r="D185" s="14" t="n"/>
      <c r="E185" s="14" t="n"/>
      <c r="F185" s="14" t="n"/>
    </row>
    <row r="186">
      <c r="A186" s="14" t="n"/>
      <c r="B186" s="14" t="n"/>
      <c r="C186" s="14" t="n"/>
      <c r="D186" s="14" t="n"/>
      <c r="E186" s="14" t="n"/>
      <c r="F186" s="14" t="n"/>
    </row>
    <row r="187">
      <c r="A187" s="14" t="n"/>
      <c r="B187" s="14" t="n"/>
      <c r="C187" s="14" t="n"/>
      <c r="D187" s="14" t="n"/>
      <c r="E187" s="14" t="n"/>
      <c r="F187" s="14" t="n"/>
    </row>
    <row r="188">
      <c r="A188" s="14" t="n"/>
      <c r="B188" s="14" t="n"/>
      <c r="C188" s="14" t="n"/>
      <c r="D188" s="14" t="n"/>
      <c r="E188" s="14" t="n"/>
      <c r="F188" s="14" t="n"/>
    </row>
    <row r="189">
      <c r="A189" s="14" t="n"/>
      <c r="B189" s="14" t="n"/>
      <c r="C189" s="14" t="n"/>
      <c r="D189" s="14" t="n"/>
      <c r="E189" s="14" t="n"/>
      <c r="F189" s="14" t="n"/>
    </row>
    <row r="190">
      <c r="A190" s="14" t="n"/>
      <c r="B190" s="14" t="n"/>
      <c r="C190" s="14" t="n"/>
      <c r="D190" s="14" t="n"/>
      <c r="E190" s="14" t="n"/>
      <c r="F190" s="14" t="n"/>
    </row>
    <row r="191">
      <c r="A191" s="14" t="n"/>
      <c r="B191" s="14" t="n"/>
      <c r="C191" s="14" t="n"/>
      <c r="D191" s="14" t="n"/>
      <c r="E191" s="14" t="n"/>
      <c r="F191" s="14" t="n"/>
    </row>
    <row r="192">
      <c r="A192" s="14" t="n"/>
      <c r="B192" s="14" t="n"/>
      <c r="C192" s="14" t="n"/>
      <c r="D192" s="14" t="n"/>
      <c r="E192" s="14" t="n"/>
      <c r="F192" s="14" t="n"/>
    </row>
    <row r="193">
      <c r="A193" s="14" t="n"/>
      <c r="B193" s="14" t="n"/>
      <c r="C193" s="14" t="n"/>
      <c r="D193" s="14" t="n"/>
      <c r="E193" s="14" t="n"/>
      <c r="F193" s="14" t="n"/>
    </row>
    <row r="194">
      <c r="A194" s="14" t="n"/>
      <c r="B194" s="14" t="n"/>
      <c r="C194" s="14" t="n"/>
      <c r="D194" s="14" t="n"/>
      <c r="E194" s="14" t="n"/>
      <c r="F194" s="14" t="n"/>
    </row>
    <row r="195">
      <c r="A195" s="14" t="n"/>
      <c r="B195" s="14" t="n"/>
      <c r="C195" s="14" t="n"/>
      <c r="D195" s="14" t="n"/>
      <c r="E195" s="14" t="n"/>
      <c r="F195" s="14" t="n"/>
    </row>
    <row r="196">
      <c r="A196" s="14" t="n"/>
      <c r="B196" s="14" t="n"/>
      <c r="C196" s="14" t="n"/>
      <c r="D196" s="14" t="n"/>
      <c r="E196" s="14" t="n"/>
      <c r="F196" s="14" t="n"/>
    </row>
    <row r="197">
      <c r="A197" s="14" t="n"/>
      <c r="B197" s="14" t="n"/>
      <c r="C197" s="14" t="n"/>
      <c r="D197" s="14" t="n"/>
      <c r="E197" s="14" t="n"/>
      <c r="F197" s="14" t="n"/>
    </row>
    <row r="198">
      <c r="A198" s="14" t="n"/>
      <c r="B198" s="14" t="n"/>
      <c r="C198" s="14" t="n"/>
      <c r="D198" s="14" t="n"/>
      <c r="E198" s="14" t="n"/>
      <c r="F198" s="14" t="n"/>
    </row>
    <row r="199">
      <c r="A199" s="14" t="n"/>
      <c r="B199" s="14" t="n"/>
      <c r="C199" s="14" t="n"/>
      <c r="D199" s="14" t="n"/>
      <c r="E199" s="14" t="n"/>
      <c r="F199" s="14" t="n"/>
    </row>
    <row r="200">
      <c r="A200" s="14" t="n"/>
      <c r="B200" s="14" t="n"/>
      <c r="C200" s="14" t="n"/>
      <c r="D200" s="14" t="n"/>
      <c r="E200" s="14" t="n"/>
      <c r="F200" s="14" t="n"/>
    </row>
    <row r="201">
      <c r="A201" s="14" t="n"/>
      <c r="B201" s="14" t="n"/>
      <c r="C201" s="14" t="n"/>
      <c r="D201" s="14" t="n"/>
      <c r="E201" s="14" t="n"/>
      <c r="F201" s="14" t="n"/>
    </row>
    <row r="202">
      <c r="A202" s="14" t="n"/>
      <c r="B202" s="14" t="n"/>
      <c r="C202" s="14" t="n"/>
      <c r="D202" s="14" t="n"/>
      <c r="E202" s="14" t="n"/>
      <c r="F202" s="14" t="n"/>
    </row>
  </sheetData>
  <mergeCells count="1">
    <mergeCell ref="A1:G1"/>
  </mergeCells>
  <dataValidations count="1">
    <dataValidation sqref="A3:A1000" showDropDown="0" showInputMessage="0" showErrorMessage="0" allowBlank="1" type="date" operator="greaterThanOrEqual">
      <formula1>DATE(2000,1,1)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2026-02-11T14:26:00Z</dcterms:created>
  <dcterms:modified xmlns:dcterms="http://purl.org/dc/terms/" xmlns:xsi="http://www.w3.org/2001/XMLSchema-instance" xsi:type="dcterms:W3CDTF">2026-02-11T15:12:52Z</dcterms:modified>
</cp:coreProperties>
</file>